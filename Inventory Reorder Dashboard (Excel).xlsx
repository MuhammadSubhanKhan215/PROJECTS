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Person\Documents\Projects\"/>
    </mc:Choice>
  </mc:AlternateContent>
  <xr:revisionPtr revIDLastSave="0" documentId="13_ncr:1_{1AE7ED37-978A-4F62-BE27-B20FD9572BBF}" xr6:coauthVersionLast="47" xr6:coauthVersionMax="47" xr10:uidLastSave="{00000000-0000-0000-0000-000000000000}"/>
  <bookViews>
    <workbookView xWindow="-110" yWindow="-110" windowWidth="19420" windowHeight="10300" xr2:uid="{65FD19BB-B503-4C09-A3C1-03341F3218C8}"/>
  </bookViews>
  <sheets>
    <sheet name="Dash Board" sheetId="6" r:id="rId1"/>
    <sheet name="Data Set" sheetId="1" r:id="rId2"/>
    <sheet name="Products by Supplier Risk" sheetId="7" r:id="rId3"/>
    <sheet name="Products Needing Reorder by Cat" sheetId="2" r:id="rId4"/>
    <sheet name="Average Reorder Point by Cat" sheetId="3" r:id="rId5"/>
    <sheet name="Top 10 Products to Reorder" sheetId="4" r:id="rId6"/>
    <sheet name="Inventory Value at Risk" sheetId="5" r:id="rId7"/>
  </sheets>
  <definedNames>
    <definedName name="Slicer_Category">#N/A</definedName>
    <definedName name="Slicer_ReorderStatus">#N/A</definedName>
  </definedNames>
  <calcPr calcId="191029"/>
  <pivotCaches>
    <pivotCache cacheId="8"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C5" i="6"/>
  <c r="C3" i="6"/>
  <c r="L2" i="1"/>
  <c r="L3" i="1"/>
  <c r="L4" i="1"/>
  <c r="L5" i="1"/>
  <c r="L6" i="1"/>
  <c r="L7" i="1"/>
  <c r="L8" i="1"/>
  <c r="L9" i="1"/>
  <c r="L10" i="1"/>
  <c r="L11" i="1"/>
  <c r="L12" i="1"/>
  <c r="L13" i="1"/>
  <c r="L14" i="1"/>
  <c r="L15" i="1"/>
  <c r="L16" i="1"/>
  <c r="L17" i="1"/>
  <c r="C4" i="6" s="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2" i="1"/>
  <c r="H3" i="1"/>
  <c r="I3" i="1" s="1"/>
  <c r="J3" i="1" s="1"/>
  <c r="H4" i="1"/>
  <c r="I4" i="1" s="1"/>
  <c r="J4" i="1" s="1"/>
  <c r="H5" i="1"/>
  <c r="I5" i="1" s="1"/>
  <c r="J5" i="1" s="1"/>
  <c r="H6" i="1"/>
  <c r="I6" i="1" s="1"/>
  <c r="J6" i="1" s="1"/>
  <c r="H7" i="1"/>
  <c r="I7" i="1" s="1"/>
  <c r="J7" i="1" s="1"/>
  <c r="H8" i="1"/>
  <c r="I8" i="1" s="1"/>
  <c r="J8" i="1" s="1"/>
  <c r="H9" i="1"/>
  <c r="I9" i="1" s="1"/>
  <c r="J9" i="1" s="1"/>
  <c r="H10" i="1"/>
  <c r="I10" i="1" s="1"/>
  <c r="J10" i="1" s="1"/>
  <c r="H11" i="1"/>
  <c r="I11" i="1" s="1"/>
  <c r="J11" i="1" s="1"/>
  <c r="H12" i="1"/>
  <c r="I12" i="1" s="1"/>
  <c r="J12" i="1" s="1"/>
  <c r="H13" i="1"/>
  <c r="I13" i="1" s="1"/>
  <c r="J13" i="1" s="1"/>
  <c r="H14" i="1"/>
  <c r="I14" i="1" s="1"/>
  <c r="J14" i="1" s="1"/>
  <c r="H15" i="1"/>
  <c r="I15" i="1" s="1"/>
  <c r="J15" i="1" s="1"/>
  <c r="H16" i="1"/>
  <c r="I16" i="1" s="1"/>
  <c r="J16" i="1" s="1"/>
  <c r="H17" i="1"/>
  <c r="I17" i="1" s="1"/>
  <c r="J17" i="1" s="1"/>
  <c r="H18" i="1"/>
  <c r="I18" i="1" s="1"/>
  <c r="J18" i="1" s="1"/>
  <c r="H19" i="1"/>
  <c r="I19" i="1" s="1"/>
  <c r="J19" i="1" s="1"/>
  <c r="H20" i="1"/>
  <c r="I20" i="1" s="1"/>
  <c r="J20" i="1" s="1"/>
  <c r="H21" i="1"/>
  <c r="I21" i="1" s="1"/>
  <c r="J21" i="1" s="1"/>
  <c r="H22" i="1"/>
  <c r="I22" i="1" s="1"/>
  <c r="J22" i="1" s="1"/>
  <c r="H23" i="1"/>
  <c r="I23" i="1" s="1"/>
  <c r="J23" i="1" s="1"/>
  <c r="H24" i="1"/>
  <c r="I24" i="1" s="1"/>
  <c r="J24" i="1" s="1"/>
  <c r="H25" i="1"/>
  <c r="I25" i="1" s="1"/>
  <c r="J25" i="1" s="1"/>
  <c r="H26" i="1"/>
  <c r="I26" i="1" s="1"/>
  <c r="J26" i="1" s="1"/>
  <c r="H27" i="1"/>
  <c r="I27" i="1" s="1"/>
  <c r="J27" i="1" s="1"/>
  <c r="H28" i="1"/>
  <c r="I28" i="1" s="1"/>
  <c r="J28" i="1" s="1"/>
  <c r="H29" i="1"/>
  <c r="I29" i="1" s="1"/>
  <c r="J29" i="1" s="1"/>
  <c r="H30" i="1"/>
  <c r="I30" i="1" s="1"/>
  <c r="J30" i="1" s="1"/>
  <c r="H31" i="1"/>
  <c r="I31" i="1" s="1"/>
  <c r="J31" i="1" s="1"/>
  <c r="H32" i="1"/>
  <c r="I32" i="1" s="1"/>
  <c r="J32" i="1" s="1"/>
  <c r="H33" i="1"/>
  <c r="I33" i="1" s="1"/>
  <c r="J33" i="1" s="1"/>
  <c r="H34" i="1"/>
  <c r="I34" i="1" s="1"/>
  <c r="J34" i="1" s="1"/>
  <c r="H35" i="1"/>
  <c r="I35" i="1" s="1"/>
  <c r="J35" i="1" s="1"/>
  <c r="H36" i="1"/>
  <c r="I36" i="1" s="1"/>
  <c r="J36" i="1" s="1"/>
  <c r="H37" i="1"/>
  <c r="I37" i="1" s="1"/>
  <c r="J37" i="1" s="1"/>
  <c r="H38" i="1"/>
  <c r="I38" i="1" s="1"/>
  <c r="J38" i="1" s="1"/>
  <c r="H39" i="1"/>
  <c r="I39" i="1" s="1"/>
  <c r="J39" i="1" s="1"/>
  <c r="H40" i="1"/>
  <c r="I40" i="1" s="1"/>
  <c r="J40" i="1" s="1"/>
  <c r="H41" i="1"/>
  <c r="I41" i="1" s="1"/>
  <c r="J41" i="1" s="1"/>
  <c r="H42" i="1"/>
  <c r="I42" i="1" s="1"/>
  <c r="J42" i="1" s="1"/>
  <c r="H43" i="1"/>
  <c r="I43" i="1" s="1"/>
  <c r="J43" i="1" s="1"/>
  <c r="H44" i="1"/>
  <c r="I44" i="1" s="1"/>
  <c r="J44" i="1" s="1"/>
  <c r="H45" i="1"/>
  <c r="I45" i="1" s="1"/>
  <c r="J45" i="1" s="1"/>
  <c r="H46" i="1"/>
  <c r="I46" i="1" s="1"/>
  <c r="J46" i="1" s="1"/>
  <c r="H47" i="1"/>
  <c r="I47" i="1" s="1"/>
  <c r="J47" i="1" s="1"/>
  <c r="H48" i="1"/>
  <c r="I48" i="1" s="1"/>
  <c r="J48" i="1" s="1"/>
  <c r="H49" i="1"/>
  <c r="I49" i="1" s="1"/>
  <c r="J49" i="1" s="1"/>
  <c r="H50" i="1"/>
  <c r="I50" i="1" s="1"/>
  <c r="J50" i="1" s="1"/>
  <c r="H51" i="1"/>
  <c r="I51" i="1" s="1"/>
  <c r="J51" i="1" s="1"/>
  <c r="H2" i="1"/>
  <c r="I2" i="1" s="1"/>
  <c r="J2" i="1" s="1"/>
  <c r="C6" i="6" l="1"/>
</calcChain>
</file>

<file path=xl/sharedStrings.xml><?xml version="1.0" encoding="utf-8"?>
<sst xmlns="http://schemas.openxmlformats.org/spreadsheetml/2006/main" count="211" uniqueCount="138">
  <si>
    <t>ProductID</t>
  </si>
  <si>
    <t>ProductName</t>
  </si>
  <si>
    <t>Category</t>
  </si>
  <si>
    <t>CurrentStock</t>
  </si>
  <si>
    <t>DailySalesRate</t>
  </si>
  <si>
    <t>LeadTimeDays</t>
  </si>
  <si>
    <t>UnitCost</t>
  </si>
  <si>
    <t>P001</t>
  </si>
  <si>
    <t>Spare Part</t>
  </si>
  <si>
    <t>P002</t>
  </si>
  <si>
    <t>P003</t>
  </si>
  <si>
    <t>Consumable</t>
  </si>
  <si>
    <t>P004</t>
  </si>
  <si>
    <t>P005</t>
  </si>
  <si>
    <t>P006</t>
  </si>
  <si>
    <t>Electronics</t>
  </si>
  <si>
    <t>P007</t>
  </si>
  <si>
    <t>P008</t>
  </si>
  <si>
    <t>P009</t>
  </si>
  <si>
    <t>Hardware</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</si>
  <si>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</si>
  <si>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</si>
  <si>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</si>
  <si>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</si>
  <si>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</si>
  <si>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</si>
  <si>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</si>
  <si>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</si>
  <si>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</si>
  <si>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</si>
  <si>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</si>
  <si>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</si>
  <si>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</si>
  <si>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</si>
  <si>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</si>
  <si>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</si>
  <si>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</si>
  <si>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</si>
  <si>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</si>
  <si>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</si>
  <si>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</si>
  <si>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</si>
  <si>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</si>
  <si>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</si>
  <si>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</si>
  <si>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</si>
  <si>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</si>
  <si>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</si>
  <si>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</si>
  <si>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</si>
  <si>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P040</t>
  </si>
  <si>
    <t>P041</t>
  </si>
  <si>
    <t>P042</t>
  </si>
  <si>
    <t>P043</t>
  </si>
  <si>
    <t>P044</t>
  </si>
  <si>
    <t>P045</t>
  </si>
  <si>
    <t>P046</t>
  </si>
  <si>
    <t>P047</t>
  </si>
  <si>
    <t>P048</t>
  </si>
  <si>
    <t>P049</t>
  </si>
  <si>
    <t>P050</t>
  </si>
  <si>
    <t>Component 822</t>
  </si>
  <si>
    <t>Widget 550</t>
  </si>
  <si>
    <t>Part 483</t>
  </si>
  <si>
    <t>Gadget 996</t>
  </si>
  <si>
    <t>Spare 507</t>
  </si>
  <si>
    <t>Component 915</t>
  </si>
  <si>
    <t>Component 974</t>
  </si>
  <si>
    <t>Component 107</t>
  </si>
  <si>
    <t>Kit 194</t>
  </si>
  <si>
    <t>Widget 557</t>
  </si>
  <si>
    <t>Tool 589</t>
  </si>
  <si>
    <t>Widget 323</t>
  </si>
  <si>
    <t>Part 565</t>
  </si>
  <si>
    <t>Part 847</t>
  </si>
  <si>
    <t>Tool 843</t>
  </si>
  <si>
    <t>Part 978</t>
  </si>
  <si>
    <t>Gadget 946</t>
  </si>
  <si>
    <t>Spare 475</t>
  </si>
  <si>
    <t>Gadget 942</t>
  </si>
  <si>
    <t>Spare 189</t>
  </si>
  <si>
    <t>Tool 130</t>
  </si>
  <si>
    <t>Component 504</t>
  </si>
  <si>
    <t>Tool 873</t>
  </si>
  <si>
    <t>Gadget 319</t>
  </si>
  <si>
    <t>Part 462</t>
  </si>
  <si>
    <t>Part 637</t>
  </si>
  <si>
    <t>Spare 260</t>
  </si>
  <si>
    <t>Tool 822</t>
  </si>
  <si>
    <t>Kit 551</t>
  </si>
  <si>
    <t>Kit 437</t>
  </si>
  <si>
    <t>Component 370</t>
  </si>
  <si>
    <t>Tool 152</t>
  </si>
  <si>
    <t>Gadget 891</t>
  </si>
  <si>
    <t>Part 294</t>
  </si>
  <si>
    <t>Assembly 734</t>
  </si>
  <si>
    <t>Gadget 616</t>
  </si>
  <si>
    <t>Part 463</t>
  </si>
  <si>
    <t>Tool 542</t>
  </si>
  <si>
    <t>Gadget 931</t>
  </si>
  <si>
    <t>Gadget 629</t>
  </si>
  <si>
    <t>Kit 180</t>
  </si>
  <si>
    <t>Component 716</t>
  </si>
  <si>
    <t>Component 116</t>
  </si>
  <si>
    <t>Gadget 226</t>
  </si>
  <si>
    <t>Spare 479</t>
  </si>
  <si>
    <t>Widget 547</t>
  </si>
  <si>
    <t>Tool 717</t>
  </si>
  <si>
    <t>Gadget 171</t>
  </si>
  <si>
    <t>Assembly 253</t>
  </si>
  <si>
    <t>Spare 150</t>
  </si>
  <si>
    <t>SafetyStock</t>
  </si>
  <si>
    <t>ReorderPoint</t>
  </si>
  <si>
    <t>ReorderQty</t>
  </si>
  <si>
    <t>Row Labels</t>
  </si>
  <si>
    <t>Grand Total</t>
  </si>
  <si>
    <t>ReorderStatus</t>
  </si>
  <si>
    <t>Column Labels</t>
  </si>
  <si>
    <t>OK</t>
  </si>
  <si>
    <t>ORDER NOW</t>
  </si>
  <si>
    <t>Count of ProductID</t>
  </si>
  <si>
    <t>Average of ReorderPoint</t>
  </si>
  <si>
    <t>Sum of CurrentStock</t>
  </si>
  <si>
    <t>Sum of ReorderQty</t>
  </si>
  <si>
    <t>StockValue</t>
  </si>
  <si>
    <t>Sum of StockValue</t>
  </si>
  <si>
    <t>📊 Inventory Reorder Dashboard</t>
  </si>
  <si>
    <t>KPI</t>
  </si>
  <si>
    <t>Formula</t>
  </si>
  <si>
    <t>Products to Reorder</t>
  </si>
  <si>
    <t>Total Inventory Value</t>
  </si>
  <si>
    <t>Value at Risk</t>
  </si>
  <si>
    <t>% Inventory at Risk</t>
  </si>
  <si>
    <t>SupplierRisk</t>
  </si>
  <si>
    <t>High Risk (Long Lead Time)</t>
  </si>
  <si>
    <t>Low Risk</t>
  </si>
  <si>
    <t>Medium Risk</t>
  </si>
  <si>
    <t>Count of ProductName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</si>
</sst>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4" x14ac:knownFonts="1">
    <font>
      <sz val="11"/>
      <color theme="1"/>
      <name val="Calibri"/>
      <family val="2"/>
      <scheme val="minor"/>
    </font>
    <font>
      <sz val="11"/>
      <color theme="1"/>
      <name val="Calibri"/>
      <family val="2"/>
      <scheme val="minor"/>
    </font>
    <font>
      <sz val="20"/>
      <color theme="2" tint="-9.9978637043366805E-2"/>
      <name val="Calibri"/>
      <family val="2"/>
      <scheme val="minor"/>
    </font>
    <font>
      <sz val="11"/>
      <color theme="2"/>
      <name val="Calibri"/>
      <family val="2"/>
      <scheme val="minor"/>
    </font>
  </fonts>
  <fills count="6">
    <fill>
      <patternFill patternType="none"/>
    </fill>
    <fill>
      <patternFill patternType="gray125"/>
    </fill>
    <fill>
      <patternFill patternType="solid">
        <fgColor theme="1" tint="4.9989318521683403E-2"/>
        <bgColor indexed="64"/>
      </patternFill>
    </fill>
    <fill>
      <patternFill patternType="solid">
        <fgColor theme="1" tint="0.14999847407452621"/>
        <bgColor indexed="64"/>
      </patternFill>
    </fill>
    <fill>
      <patternFill patternType="solid">
        <fgColor theme="1" tint="0.249977111117893"/>
        <bgColor indexed="64"/>
      </patternFill>
    </fill>
    <fill>
      <patternFill patternType="solid">
        <fgColor theme="1" tint="0.34998626667073579"/>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9" fontId="3" fillId="5" borderId="0" xfId="1" applyFont="1" applyFill="1" applyAlignment="1">
      <alignment horizontal="center"/>
    </xf>
    <xf numFmtId="0" fontId="2" fillId="2" borderId="0" xfId="0" applyFont="1" applyFill="1" applyAlignment="1">
      <alignment horizontal="center"/>
    </xf>
    <xf numFmtId="0" fontId="3" fillId="3" borderId="0" xfId="0" applyFont="1" applyFill="1" applyAlignment="1">
      <alignment horizontal="center"/>
    </xf>
    <xf numFmtId="0" fontId="3" fillId="4" borderId="0" xfId="0" applyFont="1" applyFill="1" applyAlignment="1">
      <alignment horizontal="center"/>
    </xf>
    <xf numFmtId="0" fontId="3" fillId="5" borderId="0" xfId="0" applyFont="1" applyFill="1" applyAlignment="1">
      <alignment horizontal="center"/>
    </xf>
    <xf numFmtId="164" fontId="3" fillId="5" borderId="0" xfId="0" applyNumberFormat="1" applyFont="1" applyFill="1" applyAlignment="1">
      <alignment horizontal="center"/>
    </xf>
    <xf numFmtId="0" fontId="0" fillId="0" borderId="0" xfId="0" applyNumberFormat="1"/>
  </cellXfs>
  <cellStyles count="2">
    <cellStyle name="Normal" xfId="0" builtinId="0"/>
    <cellStyle name="Percent" xfId="1" builtinId="5"/>
  </cellStyles>
  <dxfs count="3">
    <dxf>
      <numFmt numFmtId="0" formatCode="General"/>
    </dxf>
    <dxf>
      <numFmt numFmtId="0" formatCode="General"/>
    </dxf>
    <dxf>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Reorder Dashboard (Excel).xlsx]Products Needing Reorder by Cat!PivotTable1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Products Needing Reorder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'Products Needing Reorder by Cat'!$B$1:$B$2</c:f>
              <c:strCache>
                <c:ptCount val="1"/>
                <c:pt idx="0">
                  <c:v>OK</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'Products Needing Reorder by Cat'!$A$3:$A$6</c:f>
              <c:strCache>
                <c:ptCount val="4"/>
                <c:pt idx="0">
                  <c:v>Consumable</c:v>
                </c:pt>
                <c:pt idx="1">
                  <c:v>Electronics</c:v>
                </c:pt>
                <c:pt idx="2">
                  <c:v>Hardware</c:v>
                </c:pt>
                <c:pt idx="3">
                  <c:v>Spare Part</c:v>
                </c:pt>
              </c:strCache>
            </c:strRef>
          </c:cat>
          <c:val>
            <c:numRef>
              <c:f>'Products Needing Reorder by Cat'!$B$3:$B$6</c:f>
              <c:numCache>
                <c:formatCode>General</c:formatCode>
                <c:ptCount val="4"/>
                <c:pt idx="0">
                  <c:v>5</c:v>
                </c:pt>
                <c:pt idx="1">
                  <c:v>7</c:v>
                </c:pt>
                <c:pt idx="2">
                  <c:v>10</c:v>
                </c:pt>
                <c:pt idx="3">
                  <c:v>9</c:v>
                </c:pt>
              </c:numCache>
            </c:numRef>
          </c:val>
          <c:extLst>
            <c:ext xmlns:c16="http://schemas.microsoft.com/office/drawing/2014/chart" uri="{C3380CC4-5D6E-409C-BE32-E72D297353CC}">
              <c16:uniqueId val="{00000000-90EC-414E-948D-8647CAAF6E71}"/>
            </c:ext>
          </c:extLst>
        </c:ser>
        <c:ser>
          <c:idx val="1"/>
          <c:order val="1"/>
          <c:tx>
            <c:strRef>
              <c:f>'Products Needing Reorder by Cat'!$C$1:$C$2</c:f>
              <c:strCache>
                <c:ptCount val="1"/>
                <c:pt idx="0">
                  <c:v>ORDER NOW</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'Products Needing Reorder by Cat'!$A$3:$A$6</c:f>
              <c:strCache>
                <c:ptCount val="4"/>
                <c:pt idx="0">
                  <c:v>Consumable</c:v>
                </c:pt>
                <c:pt idx="1">
                  <c:v>Electronics</c:v>
                </c:pt>
                <c:pt idx="2">
                  <c:v>Hardware</c:v>
                </c:pt>
                <c:pt idx="3">
                  <c:v>Spare Part</c:v>
                </c:pt>
              </c:strCache>
            </c:strRef>
          </c:cat>
          <c:val>
            <c:numRef>
              <c:f>'Products Needing Reorder by Cat'!$C$3:$C$6</c:f>
              <c:numCache>
                <c:formatCode>General</c:formatCode>
                <c:ptCount val="4"/>
                <c:pt idx="0">
                  <c:v>6</c:v>
                </c:pt>
                <c:pt idx="1">
                  <c:v>1</c:v>
                </c:pt>
                <c:pt idx="2">
                  <c:v>7</c:v>
                </c:pt>
                <c:pt idx="3">
                  <c:v>5</c:v>
                </c:pt>
              </c:numCache>
            </c:numRef>
          </c:val>
          <c:extLst>
            <c:ext xmlns:c16="http://schemas.microsoft.com/office/drawing/2014/chart" uri="{C3380CC4-5D6E-409C-BE32-E72D297353CC}">
              <c16:uniqueId val="{00000009-F2A8-439E-95D6-3DB77D9E99C8}"/>
            </c:ext>
          </c:extLst>
        </c:ser>
        <c:dLbls>
          <c:showLegendKey val="0"/>
          <c:showVal val="0"/>
          <c:showCatName val="0"/>
          <c:showSerName val="0"/>
          <c:showPercent val="0"/>
          <c:showBubbleSize val="0"/>
        </c:dLbls>
        <c:gapWidth val="115"/>
        <c:overlap val="-20"/>
        <c:axId val="215646927"/>
        <c:axId val="215647407"/>
      </c:barChart>
      <c:catAx>
        <c:axId val="21564692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5647407"/>
        <c:crosses val="autoZero"/>
        <c:auto val="1"/>
        <c:lblAlgn val="ctr"/>
        <c:lblOffset val="100"/>
        <c:noMultiLvlLbl val="0"/>
      </c:catAx>
      <c:valAx>
        <c:axId val="21564740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564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Reorder Dashboard (Excel).xlsx]Average Reorder Point by Cat!PivotTable2</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b="1">
                <a:effectLst/>
              </a:rPr>
              <a:t>Average Reorder Point by Category</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Reorder Point by Cat'!$B$1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'Average Reorder Point by Cat'!$A$2:$A$6</c:f>
              <c:strCache>
                <c:ptCount val="4"/>
                <c:pt idx="0">
                  <c:v>Consumable</c:v>
                </c:pt>
                <c:pt idx="1">
                  <c:v>Electronics</c:v>
                </c:pt>
                <c:pt idx="2">
                  <c:v>Hardware</c:v>
                </c:pt>
                <c:pt idx="3">
                  <c:v>Spare Part</c:v>
                </c:pt>
              </c:strCache>
            </c:strRef>
          </c:cat>
          <c:val>
            <c:numRef>
              <c:f>'Average Reorder Point by Cat'!$B$2:$B$6</c:f>
              <c:numCache>
                <c:formatCode>General</c:formatCode>
                <c:ptCount val="4"/>
                <c:pt idx="0">
                  <c:v>193.18181818181819</c:v>
                </c:pt>
                <c:pt idx="1">
                  <c:v>124.375</c:v>
                </c:pt>
                <c:pt idx="2">
                  <c:v>189.8235294117647</c:v>
                </c:pt>
                <c:pt idx="3">
                  <c:v>226.85714285714286</c:v>
                </c:pt>
              </c:numCache>
            </c:numRef>
          </c:val>
          <c:extLst>
            <c:ext xmlns:c16="http://schemas.microsoft.com/office/drawing/2014/chart" uri="{C3380CC4-5D6E-409C-BE32-E72D297353CC}">
              <c16:uniqueId val="{00000000-31CB-42D0-8574-6800000EA669}"/>
            </c:ext>
          </c:extLst>
        </c:ser>
        <c:dLbls>
          <c:showLegendKey val="0"/>
          <c:showVal val="0"/>
          <c:showCatName val="0"/>
          <c:showSerName val="0"/>
          <c:showPercent val="0"/>
          <c:showBubbleSize val="0"/>
        </c:dLbls>
        <c:gapWidth val="100"/>
        <c:overlap val="-24"/>
        <c:axId val="522127855"/>
        <c:axId val="522137455"/>
      </c:barChart>
      <c:catAx>
        <c:axId val="5221278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2137455"/>
        <c:crosses val="autoZero"/>
        <c:auto val="1"/>
        <c:lblAlgn val="ctr"/>
        <c:lblOffset val="100"/>
        <c:noMultiLvlLbl val="0"/>
      </c:catAx>
      <c:valAx>
        <c:axId val="5221374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2127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Reorder Dashboard (Excel).xlsx]Top 10 Products to Reorder!PivotTable4</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Products to Reorder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Products to Reorder'!$B$1:$B$3</c:f>
              <c:strCache>
                <c:ptCount val="1"/>
                <c:pt idx="0">
                  <c:v>ORDER NOW - Sum of CurrentStock</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10 Products to Reorder'!$A$4:$A$13</c:f>
              <c:strCache>
                <c:ptCount val="10"/>
                <c:pt idx="0">
                  <c:v>Assembly 253</c:v>
                </c:pt>
                <c:pt idx="1">
                  <c:v>Assembly 734</c:v>
                </c:pt>
                <c:pt idx="2">
                  <c:v>Gadget 319</c:v>
                </c:pt>
                <c:pt idx="3">
                  <c:v>Gadget 942</c:v>
                </c:pt>
                <c:pt idx="4">
                  <c:v>Part 483</c:v>
                </c:pt>
                <c:pt idx="5">
                  <c:v>Part 847</c:v>
                </c:pt>
                <c:pt idx="6">
                  <c:v>Spare 150</c:v>
                </c:pt>
                <c:pt idx="7">
                  <c:v>Spare 189</c:v>
                </c:pt>
                <c:pt idx="8">
                  <c:v>Spare 475</c:v>
                </c:pt>
                <c:pt idx="9">
                  <c:v>Widget 547</c:v>
                </c:pt>
              </c:strCache>
            </c:strRef>
          </c:cat>
          <c:val>
            <c:numRef>
              <c:f>'Top 10 Products to Reorder'!$B$4:$B$13</c:f>
              <c:numCache>
                <c:formatCode>General</c:formatCode>
                <c:ptCount val="10"/>
                <c:pt idx="0">
                  <c:v>183</c:v>
                </c:pt>
                <c:pt idx="1">
                  <c:v>142</c:v>
                </c:pt>
                <c:pt idx="2">
                  <c:v>187</c:v>
                </c:pt>
                <c:pt idx="3">
                  <c:v>285</c:v>
                </c:pt>
                <c:pt idx="4">
                  <c:v>380</c:v>
                </c:pt>
                <c:pt idx="5">
                  <c:v>195</c:v>
                </c:pt>
                <c:pt idx="6">
                  <c:v>126</c:v>
                </c:pt>
                <c:pt idx="7">
                  <c:v>418</c:v>
                </c:pt>
                <c:pt idx="8">
                  <c:v>171</c:v>
                </c:pt>
                <c:pt idx="9">
                  <c:v>141</c:v>
                </c:pt>
              </c:numCache>
            </c:numRef>
          </c:val>
          <c:extLst>
            <c:ext xmlns:c16="http://schemas.microsoft.com/office/drawing/2014/chart" uri="{C3380CC4-5D6E-409C-BE32-E72D297353CC}">
              <c16:uniqueId val="{00000000-9961-4C3A-87F7-9510F5E62E2D}"/>
            </c:ext>
          </c:extLst>
        </c:ser>
        <c:ser>
          <c:idx val="1"/>
          <c:order val="1"/>
          <c:tx>
            <c:strRef>
              <c:f>'Top 10 Products to Reorder'!$C$1:$C$3</c:f>
              <c:strCache>
                <c:ptCount val="1"/>
                <c:pt idx="0">
                  <c:v>ORDER NOW - Sum of ReorderQty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10 Products to Reorder'!$A$4:$A$13</c:f>
              <c:strCache>
                <c:ptCount val="10"/>
                <c:pt idx="0">
                  <c:v>Assembly 253</c:v>
                </c:pt>
                <c:pt idx="1">
                  <c:v>Assembly 734</c:v>
                </c:pt>
                <c:pt idx="2">
                  <c:v>Gadget 319</c:v>
                </c:pt>
                <c:pt idx="3">
                  <c:v>Gadget 942</c:v>
                </c:pt>
                <c:pt idx="4">
                  <c:v>Part 483</c:v>
                </c:pt>
                <c:pt idx="5">
                  <c:v>Part 847</c:v>
                </c:pt>
                <c:pt idx="6">
                  <c:v>Spare 150</c:v>
                </c:pt>
                <c:pt idx="7">
                  <c:v>Spare 189</c:v>
                </c:pt>
                <c:pt idx="8">
                  <c:v>Spare 475</c:v>
                </c:pt>
                <c:pt idx="9">
                  <c:v>Widget 547</c:v>
                </c:pt>
              </c:strCache>
            </c:strRef>
          </c:cat>
          <c:val>
            <c:numRef>
              <c:f>'Top 10 Products to Reorder'!$C$4:$C$13</c:f>
              <c:numCache>
                <c:formatCode>General</c:formatCode>
                <c:ptCount val="10"/>
                <c:pt idx="0">
                  <c:v>864</c:v>
                </c:pt>
                <c:pt idx="1">
                  <c:v>272</c:v>
                </c:pt>
                <c:pt idx="2">
                  <c:v>368</c:v>
                </c:pt>
                <c:pt idx="3">
                  <c:v>960</c:v>
                </c:pt>
                <c:pt idx="4">
                  <c:v>840</c:v>
                </c:pt>
                <c:pt idx="5">
                  <c:v>340</c:v>
                </c:pt>
                <c:pt idx="6">
                  <c:v>330</c:v>
                </c:pt>
                <c:pt idx="7">
                  <c:v>1080</c:v>
                </c:pt>
                <c:pt idx="8">
                  <c:v>432</c:v>
                </c:pt>
                <c:pt idx="9">
                  <c:v>408</c:v>
                </c:pt>
              </c:numCache>
            </c:numRef>
          </c:val>
          <c:extLst>
            <c:ext xmlns:c16="http://schemas.microsoft.com/office/drawing/2014/chart" uri="{C3380CC4-5D6E-409C-BE32-E72D297353CC}">
              <c16:uniqueId val="{00000001-9961-4C3A-87F7-9510F5E62E2D}"/>
            </c:ext>
          </c:extLst>
        </c:ser>
        <c:dLbls>
          <c:showLegendKey val="0"/>
          <c:showVal val="0"/>
          <c:showCatName val="0"/>
          <c:showSerName val="0"/>
          <c:showPercent val="0"/>
          <c:showBubbleSize val="0"/>
        </c:dLbls>
        <c:gapWidth val="100"/>
        <c:overlap val="-24"/>
        <c:axId val="522140815"/>
        <c:axId val="522141295"/>
      </c:barChart>
      <c:catAx>
        <c:axId val="5221408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2141295"/>
        <c:crosses val="autoZero"/>
        <c:auto val="1"/>
        <c:lblAlgn val="ctr"/>
        <c:lblOffset val="100"/>
        <c:noMultiLvlLbl val="0"/>
      </c:catAx>
      <c:valAx>
        <c:axId val="5221412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214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Reorder Dashboard (Excel).xlsx]Inventory Value at Risk!PivotTable5</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b="1">
                <a:effectLst/>
              </a:rPr>
              <a:t>Inventory Value at Risk</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'Inventory Value at Risk'!$B$1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BC8-4D76-8F08-9A5BEB58BAB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BC8-4D76-8F08-9A5BEB58BAB1}"/>
              </c:ext>
            </c:extLst>
          </c:dPt>
          <c:cat>
            <c:strRef>
              <c:f>'Inventory Value at Risk'!$A$2:$A$3</c:f>
              <c:strCache>
                <c:ptCount val="2"/>
                <c:pt idx="0">
                  <c:v>OK</c:v>
                </c:pt>
                <c:pt idx="1">
                  <c:v>ORDER NOW</c:v>
                </c:pt>
              </c:strCache>
            </c:strRef>
          </c:cat>
          <c:val>
            <c:numRef>
              <c:f>'Inventory Value at Risk'!$B$2:$B$3</c:f>
              <c:numCache>
                <c:formatCode>General</c:formatCode>
                <c:ptCount val="2"/>
                <c:pt idx="0">
                  <c:v>2452474</c:v>
                </c:pt>
                <c:pt idx="1">
                  <c:v>677283</c:v>
                </c:pt>
              </c:numCache>
            </c:numRef>
          </c:val>
          <c:extLst>
            <c:ext xmlns:c16="http://schemas.microsoft.com/office/drawing/2014/chart" uri="{C3380CC4-5D6E-409C-BE32-E72D297353CC}">
              <c16:uniqueId val="{00000004-5BC8-4D76-8F08-9A5BEB58BAB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Reorder Dashboard (Excel).xlsx]Products by Supplier Risk!PivotTable1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Products by Supplier Risk</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'Products by Supplier Risk'!$B$1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'Products by Supplier Risk'!$A$2:$A$5</c:f>
              <c:strCache>
                <c:ptCount val="3"/>
                <c:pt idx="0">
                  <c:v>High Risk (Long Lead Time)</c:v>
                </c:pt>
                <c:pt idx="1">
                  <c:v>Low Risk</c:v>
                </c:pt>
                <c:pt idx="2">
                  <c:v>Medium Risk</c:v>
                </c:pt>
              </c:strCache>
            </c:strRef>
          </c:cat>
          <c:val>
            <c:numRef>
              <c:f>'Products by Supplier Risk'!$B$2:$B$5</c:f>
              <c:numCache>
                <c:formatCode>General</c:formatCode>
                <c:ptCount val="3"/>
                <c:pt idx="0">
                  <c:v>13</c:v>
                </c:pt>
                <c:pt idx="1">
                  <c:v>20</c:v>
                </c:pt>
                <c:pt idx="2">
                  <c:v>17</c:v>
                </c:pt>
              </c:numCache>
            </c:numRef>
          </c:val>
          <c:extLst>
            <c:ext xmlns:c16="http://schemas.microsoft.com/office/drawing/2014/chart" uri="{C3380CC4-5D6E-409C-BE32-E72D297353CC}">
              <c16:uniqueId val="{00000000-A3B4-42C3-BED2-EBD4EEE0A450}"/>
            </c:ext>
          </c:extLst>
        </c:ser>
        <c:dLbls>
          <c:showLegendKey val="0"/>
          <c:showVal val="0"/>
          <c:showCatName val="0"/>
          <c:showSerName val="0"/>
          <c:showPercent val="0"/>
          <c:showBubbleSize val="0"/>
        </c:dLbls>
        <c:gapWidth val="100"/>
        <c:overlap val="-24"/>
        <c:axId val="1643623951"/>
        <c:axId val="1643634031"/>
      </c:barChart>
      <c:catAx>
        <c:axId val="16436239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3634031"/>
        <c:crosses val="autoZero"/>
        <c:auto val="1"/>
        <c:lblAlgn val="ctr"/>
        <c:lblOffset val="100"/>
        <c:noMultiLvlLbl val="0"/>
      </c:catAx>
      <c:valAx>
        <c:axId val="16436340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3623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Reorder Dashboard (Excel).xlsx]Products by Supplier Risk!PivotTable1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Products by Supplier Risk</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'Products by Supplier Risk'!$B$1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'Products by Supplier Risk'!$A$2:$A$5</c:f>
              <c:strCache>
                <c:ptCount val="3"/>
                <c:pt idx="0">
                  <c:v>High Risk (Long Lead Time)</c:v>
                </c:pt>
                <c:pt idx="1">
                  <c:v>Low Risk</c:v>
                </c:pt>
                <c:pt idx="2">
                  <c:v>Medium Risk</c:v>
                </c:pt>
              </c:strCache>
            </c:strRef>
          </c:cat>
          <c:val>
            <c:numRef>
              <c:f>'Products by Supplier Risk'!$B$2:$B$5</c:f>
              <c:numCache>
                <c:formatCode>General</c:formatCode>
                <c:ptCount val="3"/>
                <c:pt idx="0">
                  <c:v>13</c:v>
                </c:pt>
                <c:pt idx="1">
                  <c:v>20</c:v>
                </c:pt>
                <c:pt idx="2">
                  <c:v>17</c:v>
                </c:pt>
              </c:numCache>
            </c:numRef>
          </c:val>
          <c:extLst>
            <c:ext xmlns:c16="http://schemas.microsoft.com/office/drawing/2014/chart" uri="{C3380CC4-5D6E-409C-BE32-E72D297353CC}">
              <c16:uniqueId val="{00000000-0498-41A2-8811-CCB70DC9E84A}"/>
            </c:ext>
          </c:extLst>
        </c:ser>
        <c:dLbls>
          <c:showLegendKey val="0"/>
          <c:showVal val="0"/>
          <c:showCatName val="0"/>
          <c:showSerName val="0"/>
          <c:showPercent val="0"/>
          <c:showBubbleSize val="0"/>
        </c:dLbls>
        <c:gapWidth val="100"/>
        <c:overlap val="-24"/>
        <c:axId val="1643623951"/>
        <c:axId val="1643634031"/>
      </c:barChart>
      <c:catAx>
        <c:axId val="16436239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3634031"/>
        <c:crosses val="autoZero"/>
        <c:auto val="1"/>
        <c:lblAlgn val="ctr"/>
        <c:lblOffset val="100"/>
        <c:noMultiLvlLbl val="0"/>
      </c:catAx>
      <c:valAx>
        <c:axId val="16436340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3623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Reorder Dashboard (Excel).xlsx]Products Needing Reorder by Cat!PivotTable1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Products Needing Reorder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'Products Needing Reorder by Cat'!$B$1:$B$2</c:f>
              <c:strCache>
                <c:ptCount val="1"/>
                <c:pt idx="0">
                  <c:v>OK</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'Products Needing Reorder by Cat'!$A$3:$A$6</c:f>
              <c:strCache>
                <c:ptCount val="4"/>
                <c:pt idx="0">
                  <c:v>Consumable</c:v>
                </c:pt>
                <c:pt idx="1">
                  <c:v>Electronics</c:v>
                </c:pt>
                <c:pt idx="2">
                  <c:v>Hardware</c:v>
                </c:pt>
                <c:pt idx="3">
                  <c:v>Spare Part</c:v>
                </c:pt>
              </c:strCache>
            </c:strRef>
          </c:cat>
          <c:val>
            <c:numRef>
              <c:f>'Products Needing Reorder by Cat'!$B$3:$B$6</c:f>
              <c:numCache>
                <c:formatCode>General</c:formatCode>
                <c:ptCount val="4"/>
                <c:pt idx="0">
                  <c:v>5</c:v>
                </c:pt>
                <c:pt idx="1">
                  <c:v>7</c:v>
                </c:pt>
                <c:pt idx="2">
                  <c:v>10</c:v>
                </c:pt>
                <c:pt idx="3">
                  <c:v>9</c:v>
                </c:pt>
              </c:numCache>
            </c:numRef>
          </c:val>
          <c:extLst>
            <c:ext xmlns:c16="http://schemas.microsoft.com/office/drawing/2014/chart" uri="{C3380CC4-5D6E-409C-BE32-E72D297353CC}">
              <c16:uniqueId val="{00000000-B68C-4DF8-A5A7-03EA460203A9}"/>
            </c:ext>
          </c:extLst>
        </c:ser>
        <c:ser>
          <c:idx val="1"/>
          <c:order val="1"/>
          <c:tx>
            <c:strRef>
              <c:f>'Products Needing Reorder by Cat'!$C$1:$C$2</c:f>
              <c:strCache>
                <c:ptCount val="1"/>
                <c:pt idx="0">
                  <c:v>ORDER NOW</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'Products Needing Reorder by Cat'!$A$3:$A$6</c:f>
              <c:strCache>
                <c:ptCount val="4"/>
                <c:pt idx="0">
                  <c:v>Consumable</c:v>
                </c:pt>
                <c:pt idx="1">
                  <c:v>Electronics</c:v>
                </c:pt>
                <c:pt idx="2">
                  <c:v>Hardware</c:v>
                </c:pt>
                <c:pt idx="3">
                  <c:v>Spare Part</c:v>
                </c:pt>
              </c:strCache>
            </c:strRef>
          </c:cat>
          <c:val>
            <c:numRef>
              <c:f>'Products Needing Reorder by Cat'!$C$3:$C$6</c:f>
              <c:numCache>
                <c:formatCode>General</c:formatCode>
                <c:ptCount val="4"/>
                <c:pt idx="0">
                  <c:v>6</c:v>
                </c:pt>
                <c:pt idx="1">
                  <c:v>1</c:v>
                </c:pt>
                <c:pt idx="2">
                  <c:v>7</c:v>
                </c:pt>
                <c:pt idx="3">
                  <c:v>5</c:v>
                </c:pt>
              </c:numCache>
            </c:numRef>
          </c:val>
          <c:extLst>
            <c:ext xmlns:c16="http://schemas.microsoft.com/office/drawing/2014/chart" uri="{C3380CC4-5D6E-409C-BE32-E72D297353CC}">
              <c16:uniqueId val="{00000008-CB47-4378-ACE1-81D71193E44C}"/>
            </c:ext>
          </c:extLst>
        </c:ser>
        <c:dLbls>
          <c:showLegendKey val="0"/>
          <c:showVal val="0"/>
          <c:showCatName val="0"/>
          <c:showSerName val="0"/>
          <c:showPercent val="0"/>
          <c:showBubbleSize val="0"/>
        </c:dLbls>
        <c:gapWidth val="115"/>
        <c:overlap val="-20"/>
        <c:axId val="215646927"/>
        <c:axId val="215647407"/>
      </c:barChart>
      <c:catAx>
        <c:axId val="21564692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5647407"/>
        <c:crosses val="autoZero"/>
        <c:auto val="1"/>
        <c:lblAlgn val="ctr"/>
        <c:lblOffset val="100"/>
        <c:noMultiLvlLbl val="0"/>
      </c:catAx>
      <c:valAx>
        <c:axId val="21564740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564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Reorder Dashboard (Excel).xlsx]Average Reorder Point by Cat!PivotTable2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b="1">
                <a:effectLst/>
              </a:rPr>
              <a:t>Average Reorder Point by Category</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Reorder Point by Cat'!$B$1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'Average Reorder Point by Cat'!$A$2:$A$6</c:f>
              <c:strCache>
                <c:ptCount val="4"/>
                <c:pt idx="0">
                  <c:v>Consumable</c:v>
                </c:pt>
                <c:pt idx="1">
                  <c:v>Electronics</c:v>
                </c:pt>
                <c:pt idx="2">
                  <c:v>Hardware</c:v>
                </c:pt>
                <c:pt idx="3">
                  <c:v>Spare Part</c:v>
                </c:pt>
              </c:strCache>
            </c:strRef>
          </c:cat>
          <c:val>
            <c:numRef>
              <c:f>'Average Reorder Point by Cat'!$B$2:$B$6</c:f>
              <c:numCache>
                <c:formatCode>General</c:formatCode>
                <c:ptCount val="4"/>
                <c:pt idx="0">
                  <c:v>193.18181818181819</c:v>
                </c:pt>
                <c:pt idx="1">
                  <c:v>124.375</c:v>
                </c:pt>
                <c:pt idx="2">
                  <c:v>189.8235294117647</c:v>
                </c:pt>
                <c:pt idx="3">
                  <c:v>226.85714285714286</c:v>
                </c:pt>
              </c:numCache>
            </c:numRef>
          </c:val>
          <c:extLst>
            <c:ext xmlns:c16="http://schemas.microsoft.com/office/drawing/2014/chart" uri="{C3380CC4-5D6E-409C-BE32-E72D297353CC}">
              <c16:uniqueId val="{00000000-BD11-4892-936D-4E4B472929AF}"/>
            </c:ext>
          </c:extLst>
        </c:ser>
        <c:dLbls>
          <c:showLegendKey val="0"/>
          <c:showVal val="0"/>
          <c:showCatName val="0"/>
          <c:showSerName val="0"/>
          <c:showPercent val="0"/>
          <c:showBubbleSize val="0"/>
        </c:dLbls>
        <c:gapWidth val="100"/>
        <c:overlap val="-24"/>
        <c:axId val="522127855"/>
        <c:axId val="522137455"/>
      </c:barChart>
      <c:catAx>
        <c:axId val="5221278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2137455"/>
        <c:crosses val="autoZero"/>
        <c:auto val="1"/>
        <c:lblAlgn val="ctr"/>
        <c:lblOffset val="100"/>
        <c:noMultiLvlLbl val="0"/>
      </c:catAx>
      <c:valAx>
        <c:axId val="5221374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2127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Reorder Dashboard (Excel).xlsx]Top 10 Products to Reorder!PivotTable4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Products to Reorder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Products to Reorder'!$B$1:$B$3</c:f>
              <c:strCache>
                <c:ptCount val="1"/>
                <c:pt idx="0">
                  <c:v>ORDER NOW - Sum of CurrentStock</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10 Products to Reorder'!$A$4:$A$13</c:f>
              <c:strCache>
                <c:ptCount val="10"/>
                <c:pt idx="0">
                  <c:v>Assembly 253</c:v>
                </c:pt>
                <c:pt idx="1">
                  <c:v>Assembly 734</c:v>
                </c:pt>
                <c:pt idx="2">
                  <c:v>Gadget 319</c:v>
                </c:pt>
                <c:pt idx="3">
                  <c:v>Gadget 942</c:v>
                </c:pt>
                <c:pt idx="4">
                  <c:v>Part 483</c:v>
                </c:pt>
                <c:pt idx="5">
                  <c:v>Part 847</c:v>
                </c:pt>
                <c:pt idx="6">
                  <c:v>Spare 150</c:v>
                </c:pt>
                <c:pt idx="7">
                  <c:v>Spare 189</c:v>
                </c:pt>
                <c:pt idx="8">
                  <c:v>Spare 475</c:v>
                </c:pt>
                <c:pt idx="9">
                  <c:v>Widget 547</c:v>
                </c:pt>
              </c:strCache>
            </c:strRef>
          </c:cat>
          <c:val>
            <c:numRef>
              <c:f>'Top 10 Products to Reorder'!$B$4:$B$13</c:f>
              <c:numCache>
                <c:formatCode>General</c:formatCode>
                <c:ptCount val="10"/>
                <c:pt idx="0">
                  <c:v>183</c:v>
                </c:pt>
                <c:pt idx="1">
                  <c:v>142</c:v>
                </c:pt>
                <c:pt idx="2">
                  <c:v>187</c:v>
                </c:pt>
                <c:pt idx="3">
                  <c:v>285</c:v>
                </c:pt>
                <c:pt idx="4">
                  <c:v>380</c:v>
                </c:pt>
                <c:pt idx="5">
                  <c:v>195</c:v>
                </c:pt>
                <c:pt idx="6">
                  <c:v>126</c:v>
                </c:pt>
                <c:pt idx="7">
                  <c:v>418</c:v>
                </c:pt>
                <c:pt idx="8">
                  <c:v>171</c:v>
                </c:pt>
                <c:pt idx="9">
                  <c:v>141</c:v>
                </c:pt>
              </c:numCache>
            </c:numRef>
          </c:val>
          <c:extLst>
            <c:ext xmlns:c16="http://schemas.microsoft.com/office/drawing/2014/chart" uri="{C3380CC4-5D6E-409C-BE32-E72D297353CC}">
              <c16:uniqueId val="{00000000-15E4-4944-89BF-2D3DD0A2C629}"/>
            </c:ext>
          </c:extLst>
        </c:ser>
        <c:ser>
          <c:idx val="1"/>
          <c:order val="1"/>
          <c:tx>
            <c:strRef>
              <c:f>'Top 10 Products to Reorder'!$C$1:$C$3</c:f>
              <c:strCache>
                <c:ptCount val="1"/>
                <c:pt idx="0">
                  <c:v>ORDER NOW - Sum of ReorderQty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10 Products to Reorder'!$A$4:$A$13</c:f>
              <c:strCache>
                <c:ptCount val="10"/>
                <c:pt idx="0">
                  <c:v>Assembly 253</c:v>
                </c:pt>
                <c:pt idx="1">
                  <c:v>Assembly 734</c:v>
                </c:pt>
                <c:pt idx="2">
                  <c:v>Gadget 319</c:v>
                </c:pt>
                <c:pt idx="3">
                  <c:v>Gadget 942</c:v>
                </c:pt>
                <c:pt idx="4">
                  <c:v>Part 483</c:v>
                </c:pt>
                <c:pt idx="5">
                  <c:v>Part 847</c:v>
                </c:pt>
                <c:pt idx="6">
                  <c:v>Spare 150</c:v>
                </c:pt>
                <c:pt idx="7">
                  <c:v>Spare 189</c:v>
                </c:pt>
                <c:pt idx="8">
                  <c:v>Spare 475</c:v>
                </c:pt>
                <c:pt idx="9">
                  <c:v>Widget 547</c:v>
                </c:pt>
              </c:strCache>
            </c:strRef>
          </c:cat>
          <c:val>
            <c:numRef>
              <c:f>'Top 10 Products to Reorder'!$C$4:$C$13</c:f>
              <c:numCache>
                <c:formatCode>General</c:formatCode>
                <c:ptCount val="10"/>
                <c:pt idx="0">
                  <c:v>864</c:v>
                </c:pt>
                <c:pt idx="1">
                  <c:v>272</c:v>
                </c:pt>
                <c:pt idx="2">
                  <c:v>368</c:v>
                </c:pt>
                <c:pt idx="3">
                  <c:v>960</c:v>
                </c:pt>
                <c:pt idx="4">
                  <c:v>840</c:v>
                </c:pt>
                <c:pt idx="5">
                  <c:v>340</c:v>
                </c:pt>
                <c:pt idx="6">
                  <c:v>330</c:v>
                </c:pt>
                <c:pt idx="7">
                  <c:v>1080</c:v>
                </c:pt>
                <c:pt idx="8">
                  <c:v>432</c:v>
                </c:pt>
                <c:pt idx="9">
                  <c:v>408</c:v>
                </c:pt>
              </c:numCache>
            </c:numRef>
          </c:val>
          <c:extLst>
            <c:ext xmlns:c16="http://schemas.microsoft.com/office/drawing/2014/chart" uri="{C3380CC4-5D6E-409C-BE32-E72D297353CC}">
              <c16:uniqueId val="{00000001-15E4-4944-89BF-2D3DD0A2C629}"/>
            </c:ext>
          </c:extLst>
        </c:ser>
        <c:dLbls>
          <c:showLegendKey val="0"/>
          <c:showVal val="0"/>
          <c:showCatName val="0"/>
          <c:showSerName val="0"/>
          <c:showPercent val="0"/>
          <c:showBubbleSize val="0"/>
        </c:dLbls>
        <c:gapWidth val="100"/>
        <c:overlap val="-24"/>
        <c:axId val="522140815"/>
        <c:axId val="522141295"/>
      </c:barChart>
      <c:catAx>
        <c:axId val="5221408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2141295"/>
        <c:crosses val="autoZero"/>
        <c:auto val="1"/>
        <c:lblAlgn val="ctr"/>
        <c:lblOffset val="100"/>
        <c:noMultiLvlLbl val="0"/>
      </c:catAx>
      <c:valAx>
        <c:axId val="5221412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214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Reorder Dashboard (Excel).xlsx]Inventory Value at Risk!PivotTable5</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b="1">
                <a:effectLst/>
              </a:rPr>
              <a:t>Inventory Value at Risk</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'Inventory Value at Risk'!$B$1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1A9-48FC-B07E-D66ED6F517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1A9-48FC-B07E-D66ED6F5172A}"/>
              </c:ext>
            </c:extLst>
          </c:dPt>
          <c:cat>
            <c:strRef>
              <c:f>'Inventory Value at Risk'!$A$2:$A$3</c:f>
              <c:strCache>
                <c:ptCount val="2"/>
                <c:pt idx="0">
                  <c:v>OK</c:v>
                </c:pt>
                <c:pt idx="1">
                  <c:v>ORDER NOW</c:v>
                </c:pt>
              </c:strCache>
            </c:strRef>
          </c:cat>
          <c:val>
            <c:numRef>
              <c:f>'Inventory Value at Risk'!$B$2:$B$3</c:f>
              <c:numCache>
                <c:formatCode>General</c:formatCode>
                <c:ptCount val="2"/>
                <c:pt idx="0">
                  <c:v>2452474</c:v>
                </c:pt>
                <c:pt idx="1">
                  <c:v>677283</c:v>
                </c:pt>
              </c:numCache>
            </c:numRef>
          </c:val>
          <c:extLst>
            <c:ext xmlns:c16="http://schemas.microsoft.com/office/drawing/2014/chart" uri="{C3380CC4-5D6E-409C-BE32-E72D297353CC}">
              <c16:uniqueId val="{00000000-762D-4B5C-8EE6-A0FC264FDCE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7937</xdr:colOff>
      <xdr:row>1</xdr:row>
      <xdr:rowOff>7932</xdr:rowOff>
    </xdr:from>
    <xdr:to>
      <xdr:col>14</xdr:col>
      <xdr:colOff>7937</xdr:colOff>
      <xdr:row>16</xdr:row>
      <xdr:rowOff>12694</xdr:rowOff>
    </xdr:to>
    <xdr:graphicFrame macro="">
      <xdr:nvGraphicFramePr>
        <xdr:cNvPr id="2" name="Chart 1">
          <a:extLst>
            <a:ext uri="{FF2B5EF4-FFF2-40B4-BE49-F238E27FC236}">
              <a16:creationId xmlns:a16="http://schemas.microsoft.com/office/drawing/2014/main" id="{4C919EF4-BE11-4FCD-9F7B-71ACFC363E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16</xdr:row>
      <xdr:rowOff>7291</xdr:rowOff>
    </xdr:from>
    <xdr:to>
      <xdr:col>8</xdr:col>
      <xdr:colOff>17163</xdr:colOff>
      <xdr:row>31</xdr:row>
      <xdr:rowOff>12054</xdr:rowOff>
    </xdr:to>
    <xdr:graphicFrame macro="">
      <xdr:nvGraphicFramePr>
        <xdr:cNvPr id="3" name="Chart 2">
          <a:extLst>
            <a:ext uri="{FF2B5EF4-FFF2-40B4-BE49-F238E27FC236}">
              <a16:creationId xmlns:a16="http://schemas.microsoft.com/office/drawing/2014/main" id="{A3DAEFDD-946A-4BCD-9144-F0FEE6D71B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16522</xdr:colOff>
      <xdr:row>16</xdr:row>
      <xdr:rowOff>7277</xdr:rowOff>
    </xdr:from>
    <xdr:to>
      <xdr:col>16</xdr:col>
      <xdr:colOff>0</xdr:colOff>
      <xdr:row>31</xdr:row>
      <xdr:rowOff>12040</xdr:rowOff>
    </xdr:to>
    <xdr:graphicFrame macro="">
      <xdr:nvGraphicFramePr>
        <xdr:cNvPr id="4" name="Chart 3">
          <a:extLst>
            <a:ext uri="{FF2B5EF4-FFF2-40B4-BE49-F238E27FC236}">
              <a16:creationId xmlns:a16="http://schemas.microsoft.com/office/drawing/2014/main" id="{F5F8109B-FC57-4BAB-AE48-2CFF70F41B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7937</xdr:colOff>
      <xdr:row>1</xdr:row>
      <xdr:rowOff>7937</xdr:rowOff>
    </xdr:from>
    <xdr:to>
      <xdr:col>24</xdr:col>
      <xdr:colOff>0</xdr:colOff>
      <xdr:row>16</xdr:row>
      <xdr:rowOff>12699</xdr:rowOff>
    </xdr:to>
    <xdr:graphicFrame macro="">
      <xdr:nvGraphicFramePr>
        <xdr:cNvPr id="5" name="Chart 4">
          <a:extLst>
            <a:ext uri="{FF2B5EF4-FFF2-40B4-BE49-F238E27FC236}">
              <a16:creationId xmlns:a16="http://schemas.microsoft.com/office/drawing/2014/main" id="{9322F6CE-200F-41FF-9247-84BA757BCF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xdr:colOff>
      <xdr:row>6</xdr:row>
      <xdr:rowOff>9524</xdr:rowOff>
    </xdr:from>
    <xdr:to>
      <xdr:col>2</xdr:col>
      <xdr:colOff>1</xdr:colOff>
      <xdr:row>16</xdr:row>
      <xdr:rowOff>8581</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EB47968F-1474-B90D-1E4A-FC4F6C4A474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1255712"/>
              <a:ext cx="2444750" cy="23399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8583</xdr:colOff>
      <xdr:row>6</xdr:row>
      <xdr:rowOff>8582</xdr:rowOff>
    </xdr:from>
    <xdr:to>
      <xdr:col>4</xdr:col>
      <xdr:colOff>8582</xdr:colOff>
      <xdr:row>16</xdr:row>
      <xdr:rowOff>0</xdr:rowOff>
    </xdr:to>
    <mc:AlternateContent xmlns:mc="http://schemas.openxmlformats.org/markup-compatibility/2006">
      <mc:Choice xmlns:a14="http://schemas.microsoft.com/office/drawing/2010/main" Requires="a14">
        <xdr:graphicFrame macro="">
          <xdr:nvGraphicFramePr>
            <xdr:cNvPr id="7" name="ReorderStatus">
              <a:extLst>
                <a:ext uri="{FF2B5EF4-FFF2-40B4-BE49-F238E27FC236}">
                  <a16:creationId xmlns:a16="http://schemas.microsoft.com/office/drawing/2014/main" id="{9AD157FA-26A9-184E-E8FB-60CF840D86F3}"/>
                </a:ext>
              </a:extLst>
            </xdr:cNvPr>
            <xdr:cNvGraphicFramePr/>
          </xdr:nvGraphicFramePr>
          <xdr:xfrm>
            <a:off x="0" y="0"/>
            <a:ext cx="0" cy="0"/>
          </xdr:xfrm>
          <a:graphic>
            <a:graphicData uri="http://schemas.microsoft.com/office/drawing/2010/slicer">
              <sle:slicer xmlns:sle="http://schemas.microsoft.com/office/drawing/2010/slicer" name="ReorderStatus"/>
            </a:graphicData>
          </a:graphic>
        </xdr:graphicFrame>
      </mc:Choice>
      <mc:Fallback>
        <xdr:sp macro="" textlink="">
          <xdr:nvSpPr>
            <xdr:cNvPr id="0" name=""/>
            <xdr:cNvSpPr>
              <a:spLocks noTextEdit="1"/>
            </xdr:cNvSpPr>
          </xdr:nvSpPr>
          <xdr:spPr>
            <a:xfrm>
              <a:off x="1230958" y="1254770"/>
              <a:ext cx="1222374" cy="18170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xdr:colOff>
      <xdr:row>16</xdr:row>
      <xdr:rowOff>8581</xdr:rowOff>
    </xdr:from>
    <xdr:to>
      <xdr:col>23</xdr:col>
      <xdr:colOff>600676</xdr:colOff>
      <xdr:row>31</xdr:row>
      <xdr:rowOff>0</xdr:rowOff>
    </xdr:to>
    <xdr:graphicFrame macro="">
      <xdr:nvGraphicFramePr>
        <xdr:cNvPr id="8" name="Chart 7">
          <a:extLst>
            <a:ext uri="{FF2B5EF4-FFF2-40B4-BE49-F238E27FC236}">
              <a16:creationId xmlns:a16="http://schemas.microsoft.com/office/drawing/2014/main" id="{83E01C11-C100-48DA-86A6-90DFF74D45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304800</xdr:colOff>
      <xdr:row>5</xdr:row>
      <xdr:rowOff>6350</xdr:rowOff>
    </xdr:from>
    <xdr:to>
      <xdr:col>7</xdr:col>
      <xdr:colOff>412750</xdr:colOff>
      <xdr:row>19</xdr:row>
      <xdr:rowOff>171450</xdr:rowOff>
    </xdr:to>
    <xdr:graphicFrame macro="">
      <xdr:nvGraphicFramePr>
        <xdr:cNvPr id="2" name="Chart 1">
          <a:extLst>
            <a:ext uri="{FF2B5EF4-FFF2-40B4-BE49-F238E27FC236}">
              <a16:creationId xmlns:a16="http://schemas.microsoft.com/office/drawing/2014/main" id="{69045781-436C-4722-4B18-5AE91AAC57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793750</xdr:colOff>
      <xdr:row>0</xdr:row>
      <xdr:rowOff>0</xdr:rowOff>
    </xdr:from>
    <xdr:to>
      <xdr:col>10</xdr:col>
      <xdr:colOff>152400</xdr:colOff>
      <xdr:row>14</xdr:row>
      <xdr:rowOff>165100</xdr:rowOff>
    </xdr:to>
    <xdr:graphicFrame macro="">
      <xdr:nvGraphicFramePr>
        <xdr:cNvPr id="2" name="Chart 1">
          <a:extLst>
            <a:ext uri="{FF2B5EF4-FFF2-40B4-BE49-F238E27FC236}">
              <a16:creationId xmlns:a16="http://schemas.microsoft.com/office/drawing/2014/main" id="{68AF5EB2-9C01-48E0-EDCA-0574EAD5A2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25400</xdr:colOff>
      <xdr:row>0</xdr:row>
      <xdr:rowOff>0</xdr:rowOff>
    </xdr:from>
    <xdr:to>
      <xdr:col>9</xdr:col>
      <xdr:colOff>330200</xdr:colOff>
      <xdr:row>14</xdr:row>
      <xdr:rowOff>165100</xdr:rowOff>
    </xdr:to>
    <xdr:graphicFrame macro="">
      <xdr:nvGraphicFramePr>
        <xdr:cNvPr id="2" name="Chart 1">
          <a:extLst>
            <a:ext uri="{FF2B5EF4-FFF2-40B4-BE49-F238E27FC236}">
              <a16:creationId xmlns:a16="http://schemas.microsoft.com/office/drawing/2014/main" id="{B0412B84-C195-C3A8-2F46-14703DC8DC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257175</xdr:colOff>
      <xdr:row>2</xdr:row>
      <xdr:rowOff>85725</xdr:rowOff>
    </xdr:from>
    <xdr:to>
      <xdr:col>7</xdr:col>
      <xdr:colOff>473075</xdr:colOff>
      <xdr:row>17</xdr:row>
      <xdr:rowOff>66675</xdr:rowOff>
    </xdr:to>
    <xdr:graphicFrame macro="">
      <xdr:nvGraphicFramePr>
        <xdr:cNvPr id="2" name="Chart 1">
          <a:extLst>
            <a:ext uri="{FF2B5EF4-FFF2-40B4-BE49-F238E27FC236}">
              <a16:creationId xmlns:a16="http://schemas.microsoft.com/office/drawing/2014/main" id="{4E172D18-D2C7-2245-897E-F46E720B01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38100</xdr:colOff>
      <xdr:row>0</xdr:row>
      <xdr:rowOff>34925</xdr:rowOff>
    </xdr:from>
    <xdr:to>
      <xdr:col>9</xdr:col>
      <xdr:colOff>342900</xdr:colOff>
      <xdr:row>15</xdr:row>
      <xdr:rowOff>15875</xdr:rowOff>
    </xdr:to>
    <xdr:graphicFrame macro="">
      <xdr:nvGraphicFramePr>
        <xdr:cNvPr id="2" name="Chart 1">
          <a:extLst>
            <a:ext uri="{FF2B5EF4-FFF2-40B4-BE49-F238E27FC236}">
              <a16:creationId xmlns:a16="http://schemas.microsoft.com/office/drawing/2014/main" id="{3D3418F0-AF6F-58BD-4699-1A91798B10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rson" refreshedDate="46176.708474305553" createdVersion="8" refreshedVersion="8" minRefreshableVersion="3" recordCount="50" xr:uid="{DEBAAC44-F29B-432A-835C-7A5976FA6E39}">
  <cacheSource type="worksheet">
    <worksheetSource name="t"/>
  </cacheSource>
  <cacheFields count="13">
    <cacheField name="ProductID" numFmtId="0">
      <sharedItems/>
    </cacheField>
    <cacheField name="ProductName" numFmtId="0">
      <sharedItems count="50">
        <s v="Component 822"/>
        <s v="Widget 550"/>
        <s v="Part 483"/>
        <s v="Gadget 996"/>
        <s v="Spare 507"/>
        <s v="Component 915"/>
        <s v="Component 974"/>
        <s v="Component 107"/>
        <s v="Kit 194"/>
        <s v="Widget 557"/>
        <s v="Tool 589"/>
        <s v="Widget 323"/>
        <s v="Part 565"/>
        <s v="Part 847"/>
        <s v="Tool 843"/>
        <s v="Part 978"/>
        <s v="Gadget 946"/>
        <s v="Spare 475"/>
        <s v="Gadget 942"/>
        <s v="Spare 189"/>
        <s v="Tool 130"/>
        <s v="Component 504"/>
        <s v="Tool 873"/>
        <s v="Gadget 319"/>
        <s v="Part 462"/>
        <s v="Part 637"/>
        <s v="Spare 260"/>
        <s v="Tool 822"/>
        <s v="Kit 551"/>
        <s v="Kit 437"/>
        <s v="Component 370"/>
        <s v="Tool 152"/>
        <s v="Gadget 891"/>
        <s v="Part 294"/>
        <s v="Assembly 734"/>
        <s v="Gadget 616"/>
        <s v="Part 463"/>
        <s v="Tool 542"/>
        <s v="Gadget 931"/>
        <s v="Gadget 629"/>
        <s v="Kit 180"/>
        <s v="Component 716"/>
        <s v="Component 116"/>
        <s v="Gadget 226"/>
        <s v="Spare 479"/>
        <s v="Widget 547"/>
        <s v="Tool 717"/>
        <s v="Gadget 171"/>
        <s v="Assembly 253"/>
        <s v="Spare 150"/>
      </sharedItems>
    </cacheField>
    <cacheField name="Category" numFmtId="0">
      <sharedItems count="4">
        <s v="Hardware"/>
        <s v="Spare Part"/>
        <s v="Consumable"/>
        <s v="Electronics"/>
      </sharedItems>
    </cacheField>
    <cacheField name="CurrentStock" numFmtId="0">
      <sharedItems containsSemiMixedTypes="0" containsString="0" containsNumber="1" containsInteger="1" minValue="8" maxValue="500"/>
    </cacheField>
    <cacheField name="DailySalesRate" numFmtId="0">
      <sharedItems containsSemiMixedTypes="0" containsString="0" containsNumber="1" containsInteger="1" minValue="2" maxValue="30"/>
    </cacheField>
    <cacheField name="LeadTimeDays" numFmtId="0">
      <sharedItems containsSemiMixedTypes="0" containsString="0" containsNumber="1" containsInteger="1" minValue="2" maxValue="21"/>
    </cacheField>
    <cacheField name="UnitCost" numFmtId="0">
      <sharedItems containsSemiMixedTypes="0" containsString="0" containsNumber="1" containsInteger="1" minValue="21" maxValue="493"/>
    </cacheField>
    <cacheField name="SafetyStock" numFmtId="0">
      <sharedItems containsSemiMixedTypes="0" containsString="0" containsNumber="1" containsInteger="1" minValue="6" maxValue="90"/>
    </cacheField>
    <cacheField name="ReorderPoint" numFmtId="0">
      <sharedItems containsSemiMixedTypes="0" containsString="0" containsNumber="1" containsInteger="1" minValue="10" maxValue="630"/>
    </cacheField>
    <cacheField name="ReorderStatus" numFmtId="0">
      <sharedItems count="2">
        <s v="OK"/>
        <s v="ORDER NOW"/>
      </sharedItems>
    </cacheField>
    <cacheField name="ReorderQty" numFmtId="0">
      <sharedItems containsSemiMixedTypes="0" containsString="0" containsNumber="1" containsInteger="1" minValue="8" maxValue="1080"/>
    </cacheField>
    <cacheField name="StockValue" numFmtId="0">
      <sharedItems containsSemiMixedTypes="0" containsString="0" containsNumber="1" containsInteger="1" minValue="464" maxValue="246500"/>
    </cacheField>
    <cacheField name="SupplierRisk" numFmtId="0">
      <sharedItems count="3">
        <s v="Low Risk"/>
        <s v="Medium Risk"/>
        <s v="High Risk (Long Lead Time)"/>
      </sharedItems>
    </cacheField>
  </cacheFields>
  <extLst>
    <ext xmlns:x14="http://schemas.microsoft.com/office/spreadsheetml/2009/9/main" uri="{725AE2AE-9491-48be-B2B4-4EB974FC3084}">
      <x14:pivotCacheDefinition pivotCacheId="20819724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P001"/>
    <x v="0"/>
    <x v="0"/>
    <n v="345"/>
    <n v="3"/>
    <n v="7"/>
    <n v="271"/>
    <n v="9"/>
    <n v="30"/>
    <x v="0"/>
    <n v="42"/>
    <n v="93495"/>
    <x v="0"/>
  </r>
  <r>
    <s v="P002"/>
    <x v="1"/>
    <x v="0"/>
    <n v="264"/>
    <n v="18"/>
    <n v="9"/>
    <n v="192"/>
    <n v="54"/>
    <n v="216"/>
    <x v="0"/>
    <n v="324"/>
    <n v="50688"/>
    <x v="1"/>
  </r>
  <r>
    <s v="P003"/>
    <x v="2"/>
    <x v="0"/>
    <n v="380"/>
    <n v="20"/>
    <n v="21"/>
    <n v="352"/>
    <n v="60"/>
    <n v="480"/>
    <x v="1"/>
    <n v="840"/>
    <n v="133760"/>
    <x v="2"/>
  </r>
  <r>
    <s v="P004"/>
    <x v="3"/>
    <x v="1"/>
    <n v="459"/>
    <n v="29"/>
    <n v="4"/>
    <n v="221"/>
    <n v="87"/>
    <n v="203"/>
    <x v="0"/>
    <n v="232"/>
    <n v="101439"/>
    <x v="0"/>
  </r>
  <r>
    <s v="P005"/>
    <x v="4"/>
    <x v="0"/>
    <n v="497"/>
    <n v="29"/>
    <n v="6"/>
    <n v="124"/>
    <n v="87"/>
    <n v="261"/>
    <x v="0"/>
    <n v="348"/>
    <n v="61628"/>
    <x v="0"/>
  </r>
  <r>
    <s v="P006"/>
    <x v="5"/>
    <x v="2"/>
    <n v="387"/>
    <n v="30"/>
    <n v="7"/>
    <n v="129"/>
    <n v="90"/>
    <n v="300"/>
    <x v="0"/>
    <n v="420"/>
    <n v="49923"/>
    <x v="0"/>
  </r>
  <r>
    <s v="P007"/>
    <x v="6"/>
    <x v="0"/>
    <n v="8"/>
    <n v="2"/>
    <n v="2"/>
    <n v="58"/>
    <n v="6"/>
    <n v="10"/>
    <x v="1"/>
    <n v="8"/>
    <n v="464"/>
    <x v="0"/>
  </r>
  <r>
    <s v="P008"/>
    <x v="7"/>
    <x v="1"/>
    <n v="76"/>
    <n v="16"/>
    <n v="6"/>
    <n v="373"/>
    <n v="48"/>
    <n v="144"/>
    <x v="1"/>
    <n v="192"/>
    <n v="28348"/>
    <x v="0"/>
  </r>
  <r>
    <s v="P009"/>
    <x v="8"/>
    <x v="2"/>
    <n v="57"/>
    <n v="19"/>
    <n v="6"/>
    <n v="485"/>
    <n v="57"/>
    <n v="171"/>
    <x v="1"/>
    <n v="228"/>
    <n v="27645"/>
    <x v="0"/>
  </r>
  <r>
    <s v="P010"/>
    <x v="9"/>
    <x v="1"/>
    <n v="500"/>
    <n v="17"/>
    <n v="5"/>
    <n v="493"/>
    <n v="51"/>
    <n v="136"/>
    <x v="0"/>
    <n v="170"/>
    <n v="246500"/>
    <x v="0"/>
  </r>
  <r>
    <s v="P011"/>
    <x v="10"/>
    <x v="1"/>
    <n v="234"/>
    <n v="2"/>
    <n v="12"/>
    <n v="465"/>
    <n v="6"/>
    <n v="30"/>
    <x v="0"/>
    <n v="48"/>
    <n v="108810"/>
    <x v="1"/>
  </r>
  <r>
    <s v="P012"/>
    <x v="11"/>
    <x v="1"/>
    <n v="428"/>
    <n v="24"/>
    <n v="8"/>
    <n v="76"/>
    <n v="72"/>
    <n v="264"/>
    <x v="0"/>
    <n v="384"/>
    <n v="32528"/>
    <x v="1"/>
  </r>
  <r>
    <s v="P013"/>
    <x v="12"/>
    <x v="2"/>
    <n v="105"/>
    <n v="5"/>
    <n v="2"/>
    <n v="183"/>
    <n v="15"/>
    <n v="25"/>
    <x v="0"/>
    <n v="20"/>
    <n v="19215"/>
    <x v="0"/>
  </r>
  <r>
    <s v="P014"/>
    <x v="13"/>
    <x v="3"/>
    <n v="195"/>
    <n v="10"/>
    <n v="17"/>
    <n v="445"/>
    <n v="30"/>
    <n v="200"/>
    <x v="1"/>
    <n v="340"/>
    <n v="86775"/>
    <x v="2"/>
  </r>
  <r>
    <s v="P015"/>
    <x v="14"/>
    <x v="2"/>
    <n v="388"/>
    <n v="18"/>
    <n v="14"/>
    <n v="130"/>
    <n v="54"/>
    <n v="306"/>
    <x v="0"/>
    <n v="504"/>
    <n v="50440"/>
    <x v="1"/>
  </r>
  <r>
    <s v="P016"/>
    <x v="15"/>
    <x v="1"/>
    <n v="60"/>
    <n v="7"/>
    <n v="3"/>
    <n v="352"/>
    <n v="21"/>
    <n v="42"/>
    <x v="0"/>
    <n v="42"/>
    <n v="21120"/>
    <x v="0"/>
  </r>
  <r>
    <s v="P017"/>
    <x v="16"/>
    <x v="0"/>
    <n v="473"/>
    <n v="17"/>
    <n v="4"/>
    <n v="484"/>
    <n v="51"/>
    <n v="119"/>
    <x v="0"/>
    <n v="136"/>
    <n v="228932"/>
    <x v="0"/>
  </r>
  <r>
    <s v="P018"/>
    <x v="17"/>
    <x v="0"/>
    <n v="171"/>
    <n v="12"/>
    <n v="18"/>
    <n v="250"/>
    <n v="36"/>
    <n v="252"/>
    <x v="1"/>
    <n v="432"/>
    <n v="42750"/>
    <x v="2"/>
  </r>
  <r>
    <s v="P019"/>
    <x v="18"/>
    <x v="1"/>
    <n v="285"/>
    <n v="24"/>
    <n v="20"/>
    <n v="205"/>
    <n v="72"/>
    <n v="552"/>
    <x v="1"/>
    <n v="960"/>
    <n v="58425"/>
    <x v="2"/>
  </r>
  <r>
    <s v="P020"/>
    <x v="19"/>
    <x v="1"/>
    <n v="418"/>
    <n v="30"/>
    <n v="18"/>
    <n v="72"/>
    <n v="90"/>
    <n v="630"/>
    <x v="1"/>
    <n v="1080"/>
    <n v="30096"/>
    <x v="2"/>
  </r>
  <r>
    <s v="P021"/>
    <x v="20"/>
    <x v="0"/>
    <n v="329"/>
    <n v="21"/>
    <n v="2"/>
    <n v="381"/>
    <n v="63"/>
    <n v="105"/>
    <x v="0"/>
    <n v="84"/>
    <n v="125349"/>
    <x v="0"/>
  </r>
  <r>
    <s v="P022"/>
    <x v="21"/>
    <x v="0"/>
    <n v="315"/>
    <n v="8"/>
    <n v="19"/>
    <n v="485"/>
    <n v="24"/>
    <n v="176"/>
    <x v="0"/>
    <n v="304"/>
    <n v="152775"/>
    <x v="2"/>
  </r>
  <r>
    <s v="P023"/>
    <x v="22"/>
    <x v="3"/>
    <n v="422"/>
    <n v="9"/>
    <n v="2"/>
    <n v="164"/>
    <n v="27"/>
    <n v="45"/>
    <x v="0"/>
    <n v="36"/>
    <n v="69208"/>
    <x v="0"/>
  </r>
  <r>
    <s v="P024"/>
    <x v="23"/>
    <x v="2"/>
    <n v="187"/>
    <n v="23"/>
    <n v="8"/>
    <n v="425"/>
    <n v="69"/>
    <n v="253"/>
    <x v="1"/>
    <n v="368"/>
    <n v="79475"/>
    <x v="1"/>
  </r>
  <r>
    <s v="P025"/>
    <x v="24"/>
    <x v="0"/>
    <n v="215"/>
    <n v="19"/>
    <n v="2"/>
    <n v="314"/>
    <n v="57"/>
    <n v="95"/>
    <x v="0"/>
    <n v="76"/>
    <n v="67510"/>
    <x v="0"/>
  </r>
  <r>
    <s v="P026"/>
    <x v="25"/>
    <x v="2"/>
    <n v="38"/>
    <n v="16"/>
    <n v="9"/>
    <n v="48"/>
    <n v="48"/>
    <n v="192"/>
    <x v="1"/>
    <n v="288"/>
    <n v="1824"/>
    <x v="1"/>
  </r>
  <r>
    <s v="P027"/>
    <x v="26"/>
    <x v="2"/>
    <n v="332"/>
    <n v="6"/>
    <n v="9"/>
    <n v="428"/>
    <n v="18"/>
    <n v="72"/>
    <x v="0"/>
    <n v="108"/>
    <n v="142096"/>
    <x v="1"/>
  </r>
  <r>
    <s v="P028"/>
    <x v="27"/>
    <x v="1"/>
    <n v="226"/>
    <n v="4"/>
    <n v="18"/>
    <n v="313"/>
    <n v="12"/>
    <n v="84"/>
    <x v="0"/>
    <n v="144"/>
    <n v="70738"/>
    <x v="2"/>
  </r>
  <r>
    <s v="P029"/>
    <x v="28"/>
    <x v="2"/>
    <n v="355"/>
    <n v="16"/>
    <n v="12"/>
    <n v="373"/>
    <n v="48"/>
    <n v="240"/>
    <x v="0"/>
    <n v="384"/>
    <n v="132415"/>
    <x v="1"/>
  </r>
  <r>
    <s v="P030"/>
    <x v="29"/>
    <x v="3"/>
    <n v="137"/>
    <n v="16"/>
    <n v="5"/>
    <n v="435"/>
    <n v="48"/>
    <n v="128"/>
    <x v="0"/>
    <n v="160"/>
    <n v="59595"/>
    <x v="0"/>
  </r>
  <r>
    <s v="P031"/>
    <x v="30"/>
    <x v="0"/>
    <n v="111"/>
    <n v="20"/>
    <n v="16"/>
    <n v="86"/>
    <n v="60"/>
    <n v="380"/>
    <x v="1"/>
    <n v="640"/>
    <n v="9546"/>
    <x v="2"/>
  </r>
  <r>
    <s v="P032"/>
    <x v="31"/>
    <x v="0"/>
    <n v="142"/>
    <n v="27"/>
    <n v="2"/>
    <n v="33"/>
    <n v="81"/>
    <n v="135"/>
    <x v="0"/>
    <n v="108"/>
    <n v="4686"/>
    <x v="0"/>
  </r>
  <r>
    <s v="P033"/>
    <x v="32"/>
    <x v="2"/>
    <n v="26"/>
    <n v="16"/>
    <n v="13"/>
    <n v="153"/>
    <n v="48"/>
    <n v="256"/>
    <x v="1"/>
    <n v="416"/>
    <n v="3978"/>
    <x v="1"/>
  </r>
  <r>
    <s v="P034"/>
    <x v="33"/>
    <x v="3"/>
    <n v="119"/>
    <n v="7"/>
    <n v="4"/>
    <n v="299"/>
    <n v="21"/>
    <n v="49"/>
    <x v="0"/>
    <n v="56"/>
    <n v="35581"/>
    <x v="0"/>
  </r>
  <r>
    <s v="P035"/>
    <x v="34"/>
    <x v="2"/>
    <n v="142"/>
    <n v="8"/>
    <n v="17"/>
    <n v="166"/>
    <n v="24"/>
    <n v="160"/>
    <x v="1"/>
    <n v="272"/>
    <n v="23572"/>
    <x v="2"/>
  </r>
  <r>
    <s v="P036"/>
    <x v="35"/>
    <x v="3"/>
    <n v="88"/>
    <n v="2"/>
    <n v="11"/>
    <n v="182"/>
    <n v="6"/>
    <n v="28"/>
    <x v="0"/>
    <n v="44"/>
    <n v="16016"/>
    <x v="1"/>
  </r>
  <r>
    <s v="P037"/>
    <x v="36"/>
    <x v="3"/>
    <n v="212"/>
    <n v="11"/>
    <n v="16"/>
    <n v="461"/>
    <n v="33"/>
    <n v="209"/>
    <x v="0"/>
    <n v="352"/>
    <n v="97732"/>
    <x v="2"/>
  </r>
  <r>
    <s v="P038"/>
    <x v="37"/>
    <x v="1"/>
    <n v="243"/>
    <n v="10"/>
    <n v="9"/>
    <n v="204"/>
    <n v="30"/>
    <n v="120"/>
    <x v="0"/>
    <n v="180"/>
    <n v="49572"/>
    <x v="1"/>
  </r>
  <r>
    <s v="P039"/>
    <x v="38"/>
    <x v="1"/>
    <n v="494"/>
    <n v="17"/>
    <n v="15"/>
    <n v="230"/>
    <n v="51"/>
    <n v="306"/>
    <x v="0"/>
    <n v="510"/>
    <n v="113620"/>
    <x v="2"/>
  </r>
  <r>
    <s v="P040"/>
    <x v="39"/>
    <x v="3"/>
    <n v="384"/>
    <n v="19"/>
    <n v="12"/>
    <n v="182"/>
    <n v="57"/>
    <n v="285"/>
    <x v="0"/>
    <n v="456"/>
    <n v="69888"/>
    <x v="1"/>
  </r>
  <r>
    <s v="P041"/>
    <x v="40"/>
    <x v="1"/>
    <n v="111"/>
    <n v="14"/>
    <n v="3"/>
    <n v="134"/>
    <n v="42"/>
    <n v="84"/>
    <x v="0"/>
    <n v="84"/>
    <n v="14874"/>
    <x v="0"/>
  </r>
  <r>
    <s v="P042"/>
    <x v="41"/>
    <x v="3"/>
    <n v="222"/>
    <n v="3"/>
    <n v="14"/>
    <n v="349"/>
    <n v="9"/>
    <n v="51"/>
    <x v="0"/>
    <n v="84"/>
    <n v="77478"/>
    <x v="1"/>
  </r>
  <r>
    <s v="P043"/>
    <x v="42"/>
    <x v="2"/>
    <n v="43"/>
    <n v="25"/>
    <n v="3"/>
    <n v="250"/>
    <n v="75"/>
    <n v="150"/>
    <x v="1"/>
    <n v="150"/>
    <n v="10750"/>
    <x v="0"/>
  </r>
  <r>
    <s v="P044"/>
    <x v="43"/>
    <x v="0"/>
    <n v="78"/>
    <n v="22"/>
    <n v="10"/>
    <n v="480"/>
    <n v="66"/>
    <n v="286"/>
    <x v="1"/>
    <n v="440"/>
    <n v="37440"/>
    <x v="1"/>
  </r>
  <r>
    <s v="P045"/>
    <x v="44"/>
    <x v="1"/>
    <n v="68"/>
    <n v="4"/>
    <n v="14"/>
    <n v="21"/>
    <n v="12"/>
    <n v="68"/>
    <x v="1"/>
    <n v="112"/>
    <n v="1428"/>
    <x v="1"/>
  </r>
  <r>
    <s v="P046"/>
    <x v="45"/>
    <x v="0"/>
    <n v="141"/>
    <n v="12"/>
    <n v="17"/>
    <n v="323"/>
    <n v="36"/>
    <n v="240"/>
    <x v="1"/>
    <n v="408"/>
    <n v="45543"/>
    <x v="2"/>
  </r>
  <r>
    <s v="P047"/>
    <x v="46"/>
    <x v="0"/>
    <n v="269"/>
    <n v="24"/>
    <n v="2"/>
    <n v="292"/>
    <n v="72"/>
    <n v="120"/>
    <x v="0"/>
    <n v="96"/>
    <n v="78548"/>
    <x v="0"/>
  </r>
  <r>
    <s v="P048"/>
    <x v="47"/>
    <x v="0"/>
    <n v="403"/>
    <n v="8"/>
    <n v="11"/>
    <n v="25"/>
    <n v="24"/>
    <n v="112"/>
    <x v="0"/>
    <n v="176"/>
    <n v="10075"/>
    <x v="1"/>
  </r>
  <r>
    <s v="P049"/>
    <x v="48"/>
    <x v="1"/>
    <n v="183"/>
    <n v="27"/>
    <n v="16"/>
    <n v="164"/>
    <n v="81"/>
    <n v="513"/>
    <x v="1"/>
    <n v="864"/>
    <n v="30012"/>
    <x v="2"/>
  </r>
  <r>
    <s v="P050"/>
    <x v="49"/>
    <x v="0"/>
    <n v="126"/>
    <n v="15"/>
    <n v="11"/>
    <n v="202"/>
    <n v="45"/>
    <n v="210"/>
    <x v="1"/>
    <n v="330"/>
    <n v="2545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F63AC7-5B98-4457-87B6-FFCE564D236A}"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5" firstHeaderRow="1" firstDataRow="1" firstDataCol="1"/>
  <pivotFields count="13">
    <pivotField showAll="0"/>
    <pivotField dataField="1" showAll="0"/>
    <pivotField showAll="0">
      <items count="5">
        <item x="2"/>
        <item x="3"/>
        <item x="0"/>
        <item x="1"/>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axis="axisRow" showAll="0">
      <items count="4">
        <item x="2"/>
        <item x="0"/>
        <item x="1"/>
        <item t="default"/>
      </items>
    </pivotField>
  </pivotFields>
  <rowFields count="1">
    <field x="12"/>
  </rowFields>
  <rowItems count="4">
    <i>
      <x/>
    </i>
    <i>
      <x v="1"/>
    </i>
    <i>
      <x v="2"/>
    </i>
    <i t="grand">
      <x/>
    </i>
  </rowItems>
  <colItems count="1">
    <i/>
  </colItems>
  <dataFields count="1">
    <dataField name="Count of Product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295DA0-2475-4800-84B8-40E49DD5DBF6}" name="PivotTable1"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1:C6" firstHeaderRow="1" firstDataRow="2" firstDataCol="1"/>
  <pivotFields count="13">
    <pivotField dataField="1" showAll="0"/>
    <pivotField showAll="0"/>
    <pivotField axis="axisRow" showAll="0">
      <items count="5">
        <item x="2"/>
        <item x="3"/>
        <item x="0"/>
        <item x="1"/>
        <item t="default"/>
      </items>
    </pivotField>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s>
  <rowFields count="1">
    <field x="2"/>
  </rowFields>
  <rowItems count="4">
    <i>
      <x/>
    </i>
    <i>
      <x v="1"/>
    </i>
    <i>
      <x v="2"/>
    </i>
    <i>
      <x v="3"/>
    </i>
  </rowItems>
  <colFields count="1">
    <field x="9"/>
  </colFields>
  <colItems count="2">
    <i>
      <x/>
    </i>
    <i>
      <x v="1"/>
    </i>
  </colItems>
  <dataFields count="1">
    <dataField name="Count of ProductID" fld="0" subtotal="count" baseField="0" baseItem="0"/>
  </dataFields>
  <chartFormats count="6">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5" format="4" series="1">
      <pivotArea type="data" outline="0" fieldPosition="0">
        <references count="2">
          <reference field="4294967294" count="1" selected="0">
            <x v="0"/>
          </reference>
          <reference field="9" count="1" selected="0">
            <x v="0"/>
          </reference>
        </references>
      </pivotArea>
    </chartFormat>
    <chartFormat chart="5" format="5"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69F7FD-458C-4689-93DE-AE787DC4FD1A}"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6" firstHeaderRow="1" firstDataRow="1" firstDataCol="1"/>
  <pivotFields count="13">
    <pivotField showAll="0"/>
    <pivotField showAll="0"/>
    <pivotField axis="axisRow" showAll="0">
      <items count="5">
        <item x="2"/>
        <item x="3"/>
        <item x="0"/>
        <item x="1"/>
        <item t="default"/>
      </items>
    </pivotField>
    <pivotField showAll="0"/>
    <pivotField showAll="0"/>
    <pivotField showAll="0"/>
    <pivotField showAll="0"/>
    <pivotField showAll="0"/>
    <pivotField dataField="1" showAll="0"/>
    <pivotField showAll="0">
      <items count="3">
        <item x="0"/>
        <item x="1"/>
        <item t="default"/>
      </items>
    </pivotField>
    <pivotField showAll="0"/>
    <pivotField showAll="0"/>
    <pivotField showAll="0"/>
  </pivotFields>
  <rowFields count="1">
    <field x="2"/>
  </rowFields>
  <rowItems count="5">
    <i>
      <x/>
    </i>
    <i>
      <x v="1"/>
    </i>
    <i>
      <x v="2"/>
    </i>
    <i>
      <x v="3"/>
    </i>
    <i t="grand">
      <x/>
    </i>
  </rowItems>
  <colItems count="1">
    <i/>
  </colItems>
  <dataFields count="1">
    <dataField name="Average of ReorderPoint" fld="8" subtotal="average" baseField="2"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5CCDEC-392C-4EE2-B65F-81C20126C740}" name="PivotTable4"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1:C13" firstHeaderRow="1" firstDataRow="3" firstDataCol="1"/>
  <pivotFields count="13">
    <pivotField showAll="0"/>
    <pivotField axis="axisRow" showAll="0" measureFilter="1">
      <items count="51">
        <item x="48"/>
        <item x="34"/>
        <item x="7"/>
        <item x="42"/>
        <item x="30"/>
        <item x="21"/>
        <item x="41"/>
        <item x="0"/>
        <item x="5"/>
        <item x="6"/>
        <item x="47"/>
        <item x="43"/>
        <item x="23"/>
        <item x="35"/>
        <item x="39"/>
        <item x="32"/>
        <item x="38"/>
        <item x="18"/>
        <item x="16"/>
        <item x="3"/>
        <item x="40"/>
        <item x="8"/>
        <item x="29"/>
        <item x="28"/>
        <item x="33"/>
        <item x="24"/>
        <item x="36"/>
        <item x="2"/>
        <item x="12"/>
        <item x="25"/>
        <item x="13"/>
        <item x="15"/>
        <item x="49"/>
        <item x="19"/>
        <item x="26"/>
        <item x="17"/>
        <item x="44"/>
        <item x="4"/>
        <item x="20"/>
        <item x="31"/>
        <item x="37"/>
        <item x="10"/>
        <item x="46"/>
        <item x="27"/>
        <item x="14"/>
        <item x="22"/>
        <item x="11"/>
        <item x="45"/>
        <item x="1"/>
        <item x="9"/>
        <item t="default"/>
      </items>
    </pivotField>
    <pivotField showAll="0">
      <items count="5">
        <item x="2"/>
        <item x="3"/>
        <item x="0"/>
        <item x="1"/>
        <item t="default"/>
      </items>
    </pivotField>
    <pivotField dataField="1" showAll="0"/>
    <pivotField showAll="0"/>
    <pivotField showAll="0"/>
    <pivotField showAll="0"/>
    <pivotField showAll="0"/>
    <pivotField showAll="0"/>
    <pivotField axis="axisCol" showAll="0">
      <items count="3">
        <item h="1" x="0"/>
        <item x="1"/>
        <item t="default"/>
      </items>
    </pivotField>
    <pivotField dataField="1" showAll="0"/>
    <pivotField showAll="0"/>
    <pivotField showAll="0"/>
  </pivotFields>
  <rowFields count="1">
    <field x="1"/>
  </rowFields>
  <rowItems count="10">
    <i>
      <x/>
    </i>
    <i>
      <x v="1"/>
    </i>
    <i>
      <x v="12"/>
    </i>
    <i>
      <x v="17"/>
    </i>
    <i>
      <x v="27"/>
    </i>
    <i>
      <x v="30"/>
    </i>
    <i>
      <x v="32"/>
    </i>
    <i>
      <x v="33"/>
    </i>
    <i>
      <x v="35"/>
    </i>
    <i>
      <x v="47"/>
    </i>
  </rowItems>
  <colFields count="2">
    <field x="9"/>
    <field x="-2"/>
  </colFields>
  <colItems count="2">
    <i>
      <x v="1"/>
      <x/>
    </i>
    <i r="1" i="1">
      <x v="1"/>
    </i>
  </colItems>
  <dataFields count="2">
    <dataField name="Sum of CurrentStock" fld="3" baseField="0" baseItem="0"/>
    <dataField name="Sum of ReorderQty" fld="10" baseField="0" baseItem="0"/>
  </dataFields>
  <chartFormats count="4">
    <chartFormat chart="0" format="0" series="1">
      <pivotArea type="data" outline="0" fieldPosition="0">
        <references count="2">
          <reference field="4294967294" count="1" selected="0">
            <x v="0"/>
          </reference>
          <reference field="9" count="1" selected="0">
            <x v="1"/>
          </reference>
        </references>
      </pivotArea>
    </chartFormat>
    <chartFormat chart="0" format="1" series="1">
      <pivotArea type="data" outline="0" fieldPosition="0">
        <references count="2">
          <reference field="4294967294" count="1" selected="0">
            <x v="1"/>
          </reference>
          <reference field="9" count="1" selected="0">
            <x v="1"/>
          </reference>
        </references>
      </pivotArea>
    </chartFormat>
    <chartFormat chart="7" format="4" series="1">
      <pivotArea type="data" outline="0" fieldPosition="0">
        <references count="2">
          <reference field="4294967294" count="1" selected="0">
            <x v="0"/>
          </reference>
          <reference field="9" count="1" selected="0">
            <x v="1"/>
          </reference>
        </references>
      </pivotArea>
    </chartFormat>
    <chartFormat chart="7" format="5" series="1">
      <pivotArea type="data" outline="0" fieldPosition="0">
        <references count="2">
          <reference field="4294967294" count="1" selected="0">
            <x v="1"/>
          </reference>
          <reference field="9"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E7B526-6270-4535-B6F8-775C5ED2C76B}" name="PivotTable5"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1:B3" firstHeaderRow="1" firstDataRow="1" firstDataCol="1"/>
  <pivotFields count="13">
    <pivotField showAll="0"/>
    <pivotField showAll="0"/>
    <pivotField showAll="0">
      <items count="5">
        <item x="2"/>
        <item x="3"/>
        <item x="0"/>
        <item x="1"/>
        <item t="default"/>
      </items>
    </pivotField>
    <pivotField showAll="0"/>
    <pivotField showAll="0"/>
    <pivotField showAll="0"/>
    <pivotField showAll="0"/>
    <pivotField showAll="0"/>
    <pivotField showAll="0"/>
    <pivotField axis="axisRow" showAll="0">
      <items count="3">
        <item x="0"/>
        <item x="1"/>
        <item t="default"/>
      </items>
    </pivotField>
    <pivotField showAll="0"/>
    <pivotField dataField="1" showAll="0"/>
    <pivotField showAll="0"/>
  </pivotFields>
  <rowFields count="1">
    <field x="9"/>
  </rowFields>
  <rowItems count="2">
    <i>
      <x/>
    </i>
    <i>
      <x v="1"/>
    </i>
  </rowItems>
  <colItems count="1">
    <i/>
  </colItems>
  <dataFields count="1">
    <dataField name="Sum of StockValue" fld="11" baseField="0" baseItem="0"/>
  </dataField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9" count="1" selected="0">
            <x v="0"/>
          </reference>
        </references>
      </pivotArea>
    </chartFormat>
    <chartFormat chart="5" format="6">
      <pivotArea type="data" outline="0" fieldPosition="0">
        <references count="2">
          <reference field="4294967294" count="1" selected="0">
            <x v="0"/>
          </reference>
          <reference field="9" count="1" selected="0">
            <x v="1"/>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EDF9F77-2083-408B-ADB6-496F6C225265}" sourceName="Category">
  <pivotTables>
    <pivotTable tabId="2" name="PivotTable1"/>
    <pivotTable tabId="3" name="PivotTable2"/>
    <pivotTable tabId="5" name="PivotTable5"/>
    <pivotTable tabId="7" name="PivotTable1"/>
    <pivotTable tabId="4" name="PivotTable4"/>
  </pivotTables>
  <data>
    <tabular pivotCacheId="2081972470">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orderStatus" xr10:uid="{CF9FF472-830A-4FBE-A878-CA0A7DA18742}" sourceName="ReorderStatus">
  <pivotTables>
    <pivotTable tabId="2" name="PivotTable1"/>
    <pivotTable tabId="3" name="PivotTable2"/>
    <pivotTable tabId="7" name="PivotTable1"/>
  </pivotTables>
  <data>
    <tabular pivotCacheId="208197247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2F544EC-6602-4245-810B-76249B0FAF23}" cache="Slicer_Category" caption="Category" rowHeight="241300"/>
  <slicer name="ReorderStatus" xr10:uid="{B8BF5E60-9306-42F8-B117-C97B57475AC4}" cache="Slicer_ReorderStatus" caption="Reorder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DD3CF7-F768-48B1-8C75-AACB89E998E9}" name="t" displayName="t" ref="A1:M51" totalsRowShown="0">
  <autoFilter ref="A1:M51" xr:uid="{9DDD3CF7-F768-48B1-8C75-AACB89E998E9}"/>
  <tableColumns count="13">
    <tableColumn id="1" xr3:uid="{68B2948F-A612-427C-AA27-2D420AD77BCE}" name="ProductID"/>
    <tableColumn id="2" xr3:uid="{576A1218-62AC-4BE3-91B6-0A2BB0E30E2E}" name="ProductName"/>
    <tableColumn id="3" xr3:uid="{39B5DB0D-1D13-474E-BA09-535C849B6178}" name="Category"/>
    <tableColumn id="4" xr3:uid="{239B1AA9-853E-4772-8C5B-F50799632134}" name="CurrentStock"/>
    <tableColumn id="5" xr3:uid="{C7478F14-86CA-45B9-8549-E07ED2455567}" name="DailySalesRate"/>
    <tableColumn id="6" xr3:uid="{60AC7E8F-9A5F-43EF-88AB-587AADDB65B2}" name="LeadTimeDays"/>
    <tableColumn id="7" xr3:uid="{5365B940-16B6-41FD-8281-3BA611A6E6C6}" name="UnitCost"/>
    <tableColumn id="8" xr3:uid="{CC8FB8C4-4B86-43C1-B8D0-0068AAEDF630}" name="SafetyStock">
      <calculatedColumnFormula>E2* 3</calculatedColumnFormula>
    </tableColumn>
    <tableColumn id="9" xr3:uid="{9E5EFAEA-4FE4-48F5-9916-01BCE10BABEC}" name="ReorderPoint">
      <calculatedColumnFormula>(E2 * F2) + H2</calculatedColumnFormula>
    </tableColumn>
    <tableColumn id="10" xr3:uid="{CCF60D89-7FCE-47A7-8B4E-B3EA9141CA65}" name="ReorderStatus">
      <calculatedColumnFormula>IF(D2 &lt;= I2, "ORDER NOW", "OK")</calculatedColumnFormula>
    </tableColumn>
    <tableColumn id="11" xr3:uid="{0414AC9C-5741-4FCD-9E53-C3FBA57F6B28}" name="ReorderQty">
      <calculatedColumnFormula>(E2 * F2) * 2</calculatedColumnFormula>
    </tableColumn>
    <tableColumn id="12" xr3:uid="{108D80AA-4233-4C7C-8744-F2F37E2546A8}" name="StockValue" dataDxfId="1">
      <calculatedColumnFormula>D2 * G2</calculatedColumnFormula>
    </tableColumn>
    <tableColumn id="13" xr3:uid="{73C32C52-9917-43A0-8D80-47E9D4074E17}" name="SupplierRisk" dataDxfId="0">
      <calculatedColumnFormula>IF(F2&gt;14, "High Risk (Long Lead Time)", IF(F2&gt;7, "Medium Risk", "Low Risk"))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17390-FEDB-4E1F-8815-0E97AD919C94}">
  <dimension ref="A1:X6"/>
  <sheetViews>
    <sheetView tabSelected="1" zoomScale="80" zoomScaleNormal="80" workbookViewId="0">
      <selection activeCell="AA23" sqref="AA23"/>
    </sheetView>
  </sheetViews>
  <sheetFormatPr defaultRowHeight="14.5" x14ac:dyDescent="0.35"/>
  <sheetData>
    <row r="1" spans="1:24" ht="26" x14ac:dyDescent="0.6">
      <c r="A1" s="4" t="s">
        <v>126</v>
      </c>
      <c r="B1" s="4"/>
      <c r="C1" s="4"/>
      <c r="D1" s="4"/>
      <c r="E1" s="4"/>
      <c r="F1" s="4"/>
      <c r="G1" s="4"/>
      <c r="H1" s="4"/>
      <c r="I1" s="4"/>
      <c r="J1" s="4"/>
      <c r="K1" s="4"/>
      <c r="L1" s="4"/>
      <c r="M1" s="4"/>
      <c r="N1" s="4"/>
      <c r="O1" s="4"/>
      <c r="P1" s="4"/>
      <c r="Q1" s="4"/>
      <c r="R1" s="4"/>
      <c r="S1" s="4"/>
      <c r="T1" s="4"/>
      <c r="U1" s="4"/>
      <c r="V1" s="4"/>
      <c r="W1" s="4"/>
      <c r="X1" s="4"/>
    </row>
    <row r="2" spans="1:24" x14ac:dyDescent="0.35">
      <c r="A2" s="5" t="s">
        <v>127</v>
      </c>
      <c r="B2" s="5"/>
      <c r="C2" s="5" t="s">
        <v>128</v>
      </c>
      <c r="D2" s="5"/>
    </row>
    <row r="3" spans="1:24" x14ac:dyDescent="0.35">
      <c r="A3" s="6" t="s">
        <v>129</v>
      </c>
      <c r="B3" s="6"/>
      <c r="C3" s="7">
        <f>COUNTIF('Data Set'!J:J, "ORDER NOW")</f>
        <v>19</v>
      </c>
      <c r="D3" s="7"/>
    </row>
    <row r="4" spans="1:24" x14ac:dyDescent="0.35">
      <c r="A4" s="6" t="s">
        <v>130</v>
      </c>
      <c r="B4" s="6"/>
      <c r="C4" s="8">
        <f>SUM('Data Set'!L:L)</f>
        <v>3129757</v>
      </c>
      <c r="D4" s="8"/>
    </row>
    <row r="5" spans="1:24" x14ac:dyDescent="0.35">
      <c r="A5" s="6" t="s">
        <v>131</v>
      </c>
      <c r="B5" s="6"/>
      <c r="C5" s="8">
        <f>SUMIF('Data Set'!J2:J51, "ORDER NOW", 'Data Set'!L:L)</f>
        <v>882508</v>
      </c>
      <c r="D5" s="8"/>
    </row>
    <row r="6" spans="1:24" x14ac:dyDescent="0.35">
      <c r="A6" s="6" t="s">
        <v>132</v>
      </c>
      <c r="B6" s="6"/>
      <c r="C6" s="3">
        <f>C5/C4</f>
        <v>0.28197332891978516</v>
      </c>
      <c r="D6" s="3"/>
    </row>
  </sheetData>
  <mergeCells count="11">
    <mergeCell ref="C6:D6"/>
    <mergeCell ref="A1:X1"/>
    <mergeCell ref="A2:B2"/>
    <mergeCell ref="A3:B3"/>
    <mergeCell ref="A4:B4"/>
    <mergeCell ref="A5:B5"/>
    <mergeCell ref="A6:B6"/>
    <mergeCell ref="C2:D2"/>
    <mergeCell ref="C3:D3"/>
    <mergeCell ref="C4:D4"/>
    <mergeCell ref="C5:D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6DBFE-9546-48EB-AFF6-227E76D5A61F}">
  <dimension ref="A1:M51"/>
  <sheetViews>
    <sheetView workbookViewId="0">
      <selection activeCell="M3" sqref="M3"/>
    </sheetView>
  </sheetViews>
  <sheetFormatPr defaultRowHeight="14.5" x14ac:dyDescent="0.35"/>
  <cols>
    <col min="1" max="1" width="11.26953125" customWidth="1"/>
    <col min="2" max="2" width="14.36328125" customWidth="1"/>
    <col min="3" max="3" width="10.26953125" customWidth="1"/>
    <col min="4" max="4" width="13.81640625" customWidth="1"/>
    <col min="5" max="5" width="14.90625" customWidth="1"/>
    <col min="6" max="6" width="14.81640625" customWidth="1"/>
    <col min="7" max="7" width="10.08984375" customWidth="1"/>
    <col min="8" max="8" width="12.54296875" customWidth="1"/>
    <col min="9" max="9" width="14" customWidth="1"/>
    <col min="10" max="10" width="15" customWidth="1"/>
    <col min="11" max="11" width="12.54296875" customWidth="1"/>
  </cols>
  <sheetData>
    <row r="1" spans="1:13" x14ac:dyDescent="0.35">
      <c r="A1" t="s">
        <v>0</v>
      </c>
      <c r="B1" t="s">
        <v>1</v>
      </c>
      <c r="C1" t="s">
        <v>2</v>
      </c>
      <c r="D1" t="s">
        <v>3</v>
      </c>
      <c r="E1" t="s">
        <v>4</v>
      </c>
      <c r="F1" t="s">
        <v>5</v>
      </c>
      <c r="G1" t="s">
        <v>6</v>
      </c>
      <c r="H1" t="s">
        <v>111</v>
      </c>
      <c r="I1" t="s">
        <v>112</v>
      </c>
      <c r="J1" t="s">
        <v>116</v>
      </c>
      <c r="K1" t="s">
        <v>113</v>
      </c>
      <c r="L1" t="s">
        <v>124</v>
      </c>
      <c r="M1" t="s">
        <v>133</v>
      </c>
    </row>
    <row r="2" spans="1:13" x14ac:dyDescent="0.35">
      <c r="A2" t="s">
        <v>7</v>
      </c>
      <c r="B2" t="s">
        <v>61</v>
      </c>
      <c r="C2" t="s">
        <v>19</v>
      </c>
      <c r="D2">
        <v>345</v>
      </c>
      <c r="E2">
        <v>3</v>
      </c>
      <c r="F2">
        <v>7</v>
      </c>
      <c r="G2">
        <v>271</v>
      </c>
      <c r="H2">
        <f>E2* 3</f>
        <v>9</v>
      </c>
      <c r="I2">
        <f>(E2 * F2) + H2</f>
        <v>30</v>
      </c>
      <c r="J2" t="str">
        <f>IF(D2 &lt;= I2, "ORDER NOW", "OK")</f>
        <v>OK</v>
      </c>
      <c r="K2">
        <f>(E2 * F2) * 2</f>
        <v>42</v>
      </c>
      <c r="L2">
        <f t="shared" ref="L2:L33" si="0">D2 * G2</f>
        <v>93495</v>
      </c>
      <c r="M2" t="str">
        <f t="shared" ref="M2:M33" si="1">IF(F2&gt;14, "High Risk (Long Lead Time)", IF(F2&gt;7, "Medium Risk", "Low Risk"))</f>
        <v>Low Risk</v>
      </c>
    </row>
    <row r="3" spans="1:13" x14ac:dyDescent="0.35">
      <c r="A3" t="s">
        <v>9</v>
      </c>
      <c r="B3" t="s">
        <v>62</v>
      </c>
      <c r="C3" t="s">
        <v>19</v>
      </c>
      <c r="D3">
        <v>264</v>
      </c>
      <c r="E3">
        <v>18</v>
      </c>
      <c r="F3">
        <v>9</v>
      </c>
      <c r="G3">
        <v>192</v>
      </c>
      <c r="H3">
        <f t="shared" ref="H3:H51" si="2">E3* 3</f>
        <v>54</v>
      </c>
      <c r="I3">
        <f t="shared" ref="I3:I51" si="3">(E3 * F3) + H3</f>
        <v>216</v>
      </c>
      <c r="J3" t="str">
        <f t="shared" ref="J3:J51" si="4">IF(D3 &lt;= I3, "ORDER NOW", "OK")</f>
        <v>OK</v>
      </c>
      <c r="K3">
        <f t="shared" ref="K3:K51" si="5">(E3 * F3) * 2</f>
        <v>324</v>
      </c>
      <c r="L3">
        <f t="shared" si="0"/>
        <v>50688</v>
      </c>
      <c r="M3" t="str">
        <f t="shared" si="1"/>
        <v>Medium Risk</v>
      </c>
    </row>
    <row r="4" spans="1:13" x14ac:dyDescent="0.35">
      <c r="A4" t="s">
        <v>10</v>
      </c>
      <c r="B4" t="s">
        <v>63</v>
      </c>
      <c r="C4" t="s">
        <v>19</v>
      </c>
      <c r="D4">
        <v>380</v>
      </c>
      <c r="E4">
        <v>20</v>
      </c>
      <c r="F4">
        <v>21</v>
      </c>
      <c r="G4">
        <v>352</v>
      </c>
      <c r="H4">
        <f t="shared" si="2"/>
        <v>60</v>
      </c>
      <c r="I4">
        <f t="shared" si="3"/>
        <v>480</v>
      </c>
      <c r="J4" t="str">
        <f t="shared" si="4"/>
        <v>ORDER NOW</v>
      </c>
      <c r="K4">
        <f t="shared" si="5"/>
        <v>840</v>
      </c>
      <c r="L4">
        <f t="shared" si="0"/>
        <v>133760</v>
      </c>
      <c r="M4" t="str">
        <f t="shared" si="1"/>
        <v>High Risk (Long Lead Time)</v>
      </c>
    </row>
    <row r="5" spans="1:13" x14ac:dyDescent="0.35">
      <c r="A5" t="s">
        <v>12</v>
      </c>
      <c r="B5" t="s">
        <v>64</v>
      </c>
      <c r="C5" t="s">
        <v>8</v>
      </c>
      <c r="D5">
        <v>459</v>
      </c>
      <c r="E5">
        <v>29</v>
      </c>
      <c r="F5">
        <v>4</v>
      </c>
      <c r="G5">
        <v>221</v>
      </c>
      <c r="H5">
        <f t="shared" si="2"/>
        <v>87</v>
      </c>
      <c r="I5">
        <f t="shared" si="3"/>
        <v>203</v>
      </c>
      <c r="J5" t="str">
        <f t="shared" si="4"/>
        <v>OK</v>
      </c>
      <c r="K5">
        <f t="shared" si="5"/>
        <v>232</v>
      </c>
      <c r="L5">
        <f t="shared" si="0"/>
        <v>101439</v>
      </c>
      <c r="M5" t="str">
        <f t="shared" si="1"/>
        <v>Low Risk</v>
      </c>
    </row>
    <row r="6" spans="1:13" x14ac:dyDescent="0.35">
      <c r="A6" t="s">
        <v>13</v>
      </c>
      <c r="B6" t="s">
        <v>65</v>
      </c>
      <c r="C6" t="s">
        <v>19</v>
      </c>
      <c r="D6">
        <v>497</v>
      </c>
      <c r="E6">
        <v>29</v>
      </c>
      <c r="F6">
        <v>6</v>
      </c>
      <c r="G6">
        <v>124</v>
      </c>
      <c r="H6">
        <f t="shared" si="2"/>
        <v>87</v>
      </c>
      <c r="I6">
        <f t="shared" si="3"/>
        <v>261</v>
      </c>
      <c r="J6" t="str">
        <f t="shared" si="4"/>
        <v>OK</v>
      </c>
      <c r="K6">
        <f t="shared" si="5"/>
        <v>348</v>
      </c>
      <c r="L6">
        <f t="shared" si="0"/>
        <v>61628</v>
      </c>
      <c r="M6" t="str">
        <f t="shared" si="1"/>
        <v>Low Risk</v>
      </c>
    </row>
    <row r="7" spans="1:13" x14ac:dyDescent="0.35">
      <c r="A7" t="s">
        <v>14</v>
      </c>
      <c r="B7" t="s">
        <v>66</v>
      </c>
      <c r="C7" t="s">
        <v>11</v>
      </c>
      <c r="D7">
        <v>387</v>
      </c>
      <c r="E7">
        <v>30</v>
      </c>
      <c r="F7">
        <v>7</v>
      </c>
      <c r="G7">
        <v>129</v>
      </c>
      <c r="H7">
        <f t="shared" si="2"/>
        <v>90</v>
      </c>
      <c r="I7">
        <f t="shared" si="3"/>
        <v>300</v>
      </c>
      <c r="J7" t="str">
        <f t="shared" si="4"/>
        <v>OK</v>
      </c>
      <c r="K7">
        <f t="shared" si="5"/>
        <v>420</v>
      </c>
      <c r="L7">
        <f t="shared" si="0"/>
        <v>49923</v>
      </c>
      <c r="M7" t="str">
        <f t="shared" si="1"/>
        <v>Low Risk</v>
      </c>
    </row>
    <row r="8" spans="1:13" x14ac:dyDescent="0.35">
      <c r="A8" t="s">
        <v>16</v>
      </c>
      <c r="B8" t="s">
        <v>67</v>
      </c>
      <c r="C8" t="s">
        <v>19</v>
      </c>
      <c r="D8">
        <v>8</v>
      </c>
      <c r="E8">
        <v>2</v>
      </c>
      <c r="F8">
        <v>2</v>
      </c>
      <c r="G8">
        <v>58</v>
      </c>
      <c r="H8">
        <f t="shared" si="2"/>
        <v>6</v>
      </c>
      <c r="I8">
        <f t="shared" si="3"/>
        <v>10</v>
      </c>
      <c r="J8" t="str">
        <f t="shared" si="4"/>
        <v>ORDER NOW</v>
      </c>
      <c r="K8">
        <f t="shared" si="5"/>
        <v>8</v>
      </c>
      <c r="L8">
        <f t="shared" si="0"/>
        <v>464</v>
      </c>
      <c r="M8" t="str">
        <f t="shared" si="1"/>
        <v>Low Risk</v>
      </c>
    </row>
    <row r="9" spans="1:13" x14ac:dyDescent="0.35">
      <c r="A9" t="s">
        <v>17</v>
      </c>
      <c r="B9" t="s">
        <v>68</v>
      </c>
      <c r="C9" t="s">
        <v>8</v>
      </c>
      <c r="D9">
        <v>76</v>
      </c>
      <c r="E9">
        <v>16</v>
      </c>
      <c r="F9">
        <v>6</v>
      </c>
      <c r="G9">
        <v>373</v>
      </c>
      <c r="H9">
        <f t="shared" si="2"/>
        <v>48</v>
      </c>
      <c r="I9">
        <f t="shared" si="3"/>
        <v>144</v>
      </c>
      <c r="J9" t="str">
        <f t="shared" si="4"/>
        <v>ORDER NOW</v>
      </c>
      <c r="K9">
        <f t="shared" si="5"/>
        <v>192</v>
      </c>
      <c r="L9">
        <f t="shared" si="0"/>
        <v>28348</v>
      </c>
      <c r="M9" t="str">
        <f t="shared" si="1"/>
        <v>Low Risk</v>
      </c>
    </row>
    <row r="10" spans="1:13" x14ac:dyDescent="0.35">
      <c r="A10" t="s">
        <v>18</v>
      </c>
      <c r="B10" t="s">
        <v>69</v>
      </c>
      <c r="C10" t="s">
        <v>11</v>
      </c>
      <c r="D10">
        <v>57</v>
      </c>
      <c r="E10">
        <v>19</v>
      </c>
      <c r="F10">
        <v>6</v>
      </c>
      <c r="G10">
        <v>485</v>
      </c>
      <c r="H10">
        <f t="shared" si="2"/>
        <v>57</v>
      </c>
      <c r="I10">
        <f t="shared" si="3"/>
        <v>171</v>
      </c>
      <c r="J10" t="str">
        <f t="shared" si="4"/>
        <v>ORDER NOW</v>
      </c>
      <c r="K10">
        <f t="shared" si="5"/>
        <v>228</v>
      </c>
      <c r="L10">
        <f t="shared" si="0"/>
        <v>27645</v>
      </c>
      <c r="M10" t="str">
        <f t="shared" si="1"/>
        <v>Low Risk</v>
      </c>
    </row>
    <row r="11" spans="1:13" x14ac:dyDescent="0.35">
      <c r="A11" t="s">
        <v>20</v>
      </c>
      <c r="B11" t="s">
        <v>70</v>
      </c>
      <c r="C11" t="s">
        <v>8</v>
      </c>
      <c r="D11">
        <v>500</v>
      </c>
      <c r="E11">
        <v>17</v>
      </c>
      <c r="F11">
        <v>5</v>
      </c>
      <c r="G11">
        <v>493</v>
      </c>
      <c r="H11">
        <f t="shared" si="2"/>
        <v>51</v>
      </c>
      <c r="I11">
        <f t="shared" si="3"/>
        <v>136</v>
      </c>
      <c r="J11" t="str">
        <f t="shared" si="4"/>
        <v>OK</v>
      </c>
      <c r="K11">
        <f t="shared" si="5"/>
        <v>170</v>
      </c>
      <c r="L11">
        <f t="shared" si="0"/>
        <v>246500</v>
      </c>
      <c r="M11" t="str">
        <f t="shared" si="1"/>
        <v>Low Risk</v>
      </c>
    </row>
    <row r="12" spans="1:13" x14ac:dyDescent="0.35">
      <c r="A12" t="s">
        <v>21</v>
      </c>
      <c r="B12" t="s">
        <v>71</v>
      </c>
      <c r="C12" t="s">
        <v>8</v>
      </c>
      <c r="D12">
        <v>234</v>
      </c>
      <c r="E12">
        <v>2</v>
      </c>
      <c r="F12">
        <v>12</v>
      </c>
      <c r="G12">
        <v>465</v>
      </c>
      <c r="H12">
        <f t="shared" si="2"/>
        <v>6</v>
      </c>
      <c r="I12">
        <f t="shared" si="3"/>
        <v>30</v>
      </c>
      <c r="J12" t="str">
        <f t="shared" si="4"/>
        <v>OK</v>
      </c>
      <c r="K12">
        <f t="shared" si="5"/>
        <v>48</v>
      </c>
      <c r="L12">
        <f t="shared" si="0"/>
        <v>108810</v>
      </c>
      <c r="M12" t="str">
        <f t="shared" si="1"/>
        <v>Medium Risk</v>
      </c>
    </row>
    <row r="13" spans="1:13" x14ac:dyDescent="0.35">
      <c r="A13" t="s">
        <v>22</v>
      </c>
      <c r="B13" t="s">
        <v>72</v>
      </c>
      <c r="C13" t="s">
        <v>8</v>
      </c>
      <c r="D13">
        <v>428</v>
      </c>
      <c r="E13">
        <v>24</v>
      </c>
      <c r="F13">
        <v>8</v>
      </c>
      <c r="G13">
        <v>76</v>
      </c>
      <c r="H13">
        <f t="shared" si="2"/>
        <v>72</v>
      </c>
      <c r="I13">
        <f t="shared" si="3"/>
        <v>264</v>
      </c>
      <c r="J13" t="str">
        <f t="shared" si="4"/>
        <v>OK</v>
      </c>
      <c r="K13">
        <f t="shared" si="5"/>
        <v>384</v>
      </c>
      <c r="L13">
        <f t="shared" si="0"/>
        <v>32528</v>
      </c>
      <c r="M13" t="str">
        <f t="shared" si="1"/>
        <v>Medium Risk</v>
      </c>
    </row>
    <row r="14" spans="1:13" x14ac:dyDescent="0.35">
      <c r="A14" t="s">
        <v>23</v>
      </c>
      <c r="B14" t="s">
        <v>73</v>
      </c>
      <c r="C14" t="s">
        <v>11</v>
      </c>
      <c r="D14">
        <v>105</v>
      </c>
      <c r="E14">
        <v>5</v>
      </c>
      <c r="F14">
        <v>2</v>
      </c>
      <c r="G14">
        <v>183</v>
      </c>
      <c r="H14">
        <f t="shared" si="2"/>
        <v>15</v>
      </c>
      <c r="I14">
        <f t="shared" si="3"/>
        <v>25</v>
      </c>
      <c r="J14" t="str">
        <f t="shared" si="4"/>
        <v>OK</v>
      </c>
      <c r="K14">
        <f t="shared" si="5"/>
        <v>20</v>
      </c>
      <c r="L14">
        <f t="shared" si="0"/>
        <v>19215</v>
      </c>
      <c r="M14" t="str">
        <f t="shared" si="1"/>
        <v>Low Risk</v>
      </c>
    </row>
    <row r="15" spans="1:13" x14ac:dyDescent="0.35">
      <c r="A15" t="s">
        <v>24</v>
      </c>
      <c r="B15" t="s">
        <v>74</v>
      </c>
      <c r="C15" t="s">
        <v>15</v>
      </c>
      <c r="D15">
        <v>195</v>
      </c>
      <c r="E15">
        <v>10</v>
      </c>
      <c r="F15">
        <v>17</v>
      </c>
      <c r="G15">
        <v>445</v>
      </c>
      <c r="H15">
        <f t="shared" si="2"/>
        <v>30</v>
      </c>
      <c r="I15">
        <f t="shared" si="3"/>
        <v>200</v>
      </c>
      <c r="J15" t="str">
        <f t="shared" si="4"/>
        <v>ORDER NOW</v>
      </c>
      <c r="K15">
        <f t="shared" si="5"/>
        <v>340</v>
      </c>
      <c r="L15">
        <f t="shared" si="0"/>
        <v>86775</v>
      </c>
      <c r="M15" t="str">
        <f t="shared" si="1"/>
        <v>High Risk (Long Lead Time)</v>
      </c>
    </row>
    <row r="16" spans="1:13" x14ac:dyDescent="0.35">
      <c r="A16" t="s">
        <v>25</v>
      </c>
      <c r="B16" t="s">
        <v>75</v>
      </c>
      <c r="C16" t="s">
        <v>11</v>
      </c>
      <c r="D16">
        <v>388</v>
      </c>
      <c r="E16">
        <v>18</v>
      </c>
      <c r="F16">
        <v>14</v>
      </c>
      <c r="G16">
        <v>130</v>
      </c>
      <c r="H16">
        <f t="shared" si="2"/>
        <v>54</v>
      </c>
      <c r="I16">
        <f t="shared" si="3"/>
        <v>306</v>
      </c>
      <c r="J16" t="str">
        <f t="shared" si="4"/>
        <v>OK</v>
      </c>
      <c r="K16">
        <f t="shared" si="5"/>
        <v>504</v>
      </c>
      <c r="L16">
        <f t="shared" si="0"/>
        <v>50440</v>
      </c>
      <c r="M16" t="str">
        <f t="shared" si="1"/>
        <v>Medium Risk</v>
      </c>
    </row>
    <row r="17" spans="1:13" x14ac:dyDescent="0.35">
      <c r="A17" t="s">
        <v>26</v>
      </c>
      <c r="B17" t="s">
        <v>76</v>
      </c>
      <c r="C17" t="s">
        <v>8</v>
      </c>
      <c r="D17">
        <v>60</v>
      </c>
      <c r="E17">
        <v>7</v>
      </c>
      <c r="F17">
        <v>3</v>
      </c>
      <c r="G17">
        <v>352</v>
      </c>
      <c r="H17">
        <f t="shared" si="2"/>
        <v>21</v>
      </c>
      <c r="I17">
        <f t="shared" si="3"/>
        <v>42</v>
      </c>
      <c r="J17" t="str">
        <f t="shared" si="4"/>
        <v>OK</v>
      </c>
      <c r="K17">
        <f t="shared" si="5"/>
        <v>42</v>
      </c>
      <c r="L17">
        <f t="shared" si="0"/>
        <v>21120</v>
      </c>
      <c r="M17" t="str">
        <f t="shared" si="1"/>
        <v>Low Risk</v>
      </c>
    </row>
    <row r="18" spans="1:13" x14ac:dyDescent="0.35">
      <c r="A18" t="s">
        <v>27</v>
      </c>
      <c r="B18" t="s">
        <v>77</v>
      </c>
      <c r="C18" t="s">
        <v>19</v>
      </c>
      <c r="D18">
        <v>473</v>
      </c>
      <c r="E18">
        <v>17</v>
      </c>
      <c r="F18">
        <v>4</v>
      </c>
      <c r="G18">
        <v>484</v>
      </c>
      <c r="H18">
        <f t="shared" si="2"/>
        <v>51</v>
      </c>
      <c r="I18">
        <f t="shared" si="3"/>
        <v>119</v>
      </c>
      <c r="J18" t="str">
        <f t="shared" si="4"/>
        <v>OK</v>
      </c>
      <c r="K18">
        <f t="shared" si="5"/>
        <v>136</v>
      </c>
      <c r="L18">
        <f t="shared" si="0"/>
        <v>228932</v>
      </c>
      <c r="M18" t="str">
        <f t="shared" si="1"/>
        <v>Low Risk</v>
      </c>
    </row>
    <row r="19" spans="1:13" x14ac:dyDescent="0.35">
      <c r="A19" t="s">
        <v>28</v>
      </c>
      <c r="B19" t="s">
        <v>78</v>
      </c>
      <c r="C19" t="s">
        <v>19</v>
      </c>
      <c r="D19">
        <v>171</v>
      </c>
      <c r="E19">
        <v>12</v>
      </c>
      <c r="F19">
        <v>18</v>
      </c>
      <c r="G19">
        <v>250</v>
      </c>
      <c r="H19">
        <f t="shared" si="2"/>
        <v>36</v>
      </c>
      <c r="I19">
        <f t="shared" si="3"/>
        <v>252</v>
      </c>
      <c r="J19" t="str">
        <f t="shared" si="4"/>
        <v>ORDER NOW</v>
      </c>
      <c r="K19">
        <f t="shared" si="5"/>
        <v>432</v>
      </c>
      <c r="L19">
        <f t="shared" si="0"/>
        <v>42750</v>
      </c>
      <c r="M19" t="str">
        <f t="shared" si="1"/>
        <v>High Risk (Long Lead Time)</v>
      </c>
    </row>
    <row r="20" spans="1:13" x14ac:dyDescent="0.35">
      <c r="A20" t="s">
        <v>29</v>
      </c>
      <c r="B20" t="s">
        <v>79</v>
      </c>
      <c r="C20" t="s">
        <v>8</v>
      </c>
      <c r="D20">
        <v>285</v>
      </c>
      <c r="E20">
        <v>24</v>
      </c>
      <c r="F20">
        <v>20</v>
      </c>
      <c r="G20">
        <v>205</v>
      </c>
      <c r="H20">
        <f t="shared" si="2"/>
        <v>72</v>
      </c>
      <c r="I20">
        <f t="shared" si="3"/>
        <v>552</v>
      </c>
      <c r="J20" t="str">
        <f t="shared" si="4"/>
        <v>ORDER NOW</v>
      </c>
      <c r="K20">
        <f t="shared" si="5"/>
        <v>960</v>
      </c>
      <c r="L20">
        <f t="shared" si="0"/>
        <v>58425</v>
      </c>
      <c r="M20" t="str">
        <f t="shared" si="1"/>
        <v>High Risk (Long Lead Time)</v>
      </c>
    </row>
    <row r="21" spans="1:13" x14ac:dyDescent="0.35">
      <c r="A21" t="s">
        <v>30</v>
      </c>
      <c r="B21" t="s">
        <v>80</v>
      </c>
      <c r="C21" t="s">
        <v>8</v>
      </c>
      <c r="D21">
        <v>418</v>
      </c>
      <c r="E21">
        <v>30</v>
      </c>
      <c r="F21">
        <v>18</v>
      </c>
      <c r="G21">
        <v>72</v>
      </c>
      <c r="H21">
        <f t="shared" si="2"/>
        <v>90</v>
      </c>
      <c r="I21">
        <f t="shared" si="3"/>
        <v>630</v>
      </c>
      <c r="J21" t="str">
        <f t="shared" si="4"/>
        <v>ORDER NOW</v>
      </c>
      <c r="K21">
        <f t="shared" si="5"/>
        <v>1080</v>
      </c>
      <c r="L21">
        <f t="shared" si="0"/>
        <v>30096</v>
      </c>
      <c r="M21" t="str">
        <f t="shared" si="1"/>
        <v>High Risk (Long Lead Time)</v>
      </c>
    </row>
    <row r="22" spans="1:13" x14ac:dyDescent="0.35">
      <c r="A22" t="s">
        <v>31</v>
      </c>
      <c r="B22" t="s">
        <v>81</v>
      </c>
      <c r="C22" t="s">
        <v>19</v>
      </c>
      <c r="D22">
        <v>329</v>
      </c>
      <c r="E22">
        <v>21</v>
      </c>
      <c r="F22">
        <v>2</v>
      </c>
      <c r="G22">
        <v>381</v>
      </c>
      <c r="H22">
        <f t="shared" si="2"/>
        <v>63</v>
      </c>
      <c r="I22">
        <f t="shared" si="3"/>
        <v>105</v>
      </c>
      <c r="J22" t="str">
        <f t="shared" si="4"/>
        <v>OK</v>
      </c>
      <c r="K22">
        <f t="shared" si="5"/>
        <v>84</v>
      </c>
      <c r="L22">
        <f t="shared" si="0"/>
        <v>125349</v>
      </c>
      <c r="M22" t="str">
        <f t="shared" si="1"/>
        <v>Low Risk</v>
      </c>
    </row>
    <row r="23" spans="1:13" x14ac:dyDescent="0.35">
      <c r="A23" t="s">
        <v>32</v>
      </c>
      <c r="B23" t="s">
        <v>82</v>
      </c>
      <c r="C23" t="s">
        <v>19</v>
      </c>
      <c r="D23">
        <v>315</v>
      </c>
      <c r="E23">
        <v>8</v>
      </c>
      <c r="F23">
        <v>19</v>
      </c>
      <c r="G23">
        <v>485</v>
      </c>
      <c r="H23">
        <f t="shared" si="2"/>
        <v>24</v>
      </c>
      <c r="I23">
        <f t="shared" si="3"/>
        <v>176</v>
      </c>
      <c r="J23" t="str">
        <f t="shared" si="4"/>
        <v>OK</v>
      </c>
      <c r="K23">
        <f t="shared" si="5"/>
        <v>304</v>
      </c>
      <c r="L23">
        <f t="shared" si="0"/>
        <v>152775</v>
      </c>
      <c r="M23" t="str">
        <f t="shared" si="1"/>
        <v>High Risk (Long Lead Time)</v>
      </c>
    </row>
    <row r="24" spans="1:13" x14ac:dyDescent="0.35">
      <c r="A24" t="s">
        <v>33</v>
      </c>
      <c r="B24" t="s">
        <v>83</v>
      </c>
      <c r="C24" t="s">
        <v>15</v>
      </c>
      <c r="D24">
        <v>422</v>
      </c>
      <c r="E24">
        <v>9</v>
      </c>
      <c r="F24">
        <v>2</v>
      </c>
      <c r="G24">
        <v>164</v>
      </c>
      <c r="H24">
        <f t="shared" si="2"/>
        <v>27</v>
      </c>
      <c r="I24">
        <f t="shared" si="3"/>
        <v>45</v>
      </c>
      <c r="J24" t="str">
        <f t="shared" si="4"/>
        <v>OK</v>
      </c>
      <c r="K24">
        <f t="shared" si="5"/>
        <v>36</v>
      </c>
      <c r="L24">
        <f t="shared" si="0"/>
        <v>69208</v>
      </c>
      <c r="M24" t="str">
        <f t="shared" si="1"/>
        <v>Low Risk</v>
      </c>
    </row>
    <row r="25" spans="1:13" x14ac:dyDescent="0.35">
      <c r="A25" t="s">
        <v>34</v>
      </c>
      <c r="B25" t="s">
        <v>84</v>
      </c>
      <c r="C25" t="s">
        <v>11</v>
      </c>
      <c r="D25">
        <v>187</v>
      </c>
      <c r="E25">
        <v>23</v>
      </c>
      <c r="F25">
        <v>8</v>
      </c>
      <c r="G25">
        <v>425</v>
      </c>
      <c r="H25">
        <f t="shared" si="2"/>
        <v>69</v>
      </c>
      <c r="I25">
        <f t="shared" si="3"/>
        <v>253</v>
      </c>
      <c r="J25" t="str">
        <f t="shared" si="4"/>
        <v>ORDER NOW</v>
      </c>
      <c r="K25">
        <f t="shared" si="5"/>
        <v>368</v>
      </c>
      <c r="L25">
        <f t="shared" si="0"/>
        <v>79475</v>
      </c>
      <c r="M25" t="str">
        <f t="shared" si="1"/>
        <v>Medium Risk</v>
      </c>
    </row>
    <row r="26" spans="1:13" x14ac:dyDescent="0.35">
      <c r="A26" t="s">
        <v>35</v>
      </c>
      <c r="B26" t="s">
        <v>85</v>
      </c>
      <c r="C26" t="s">
        <v>19</v>
      </c>
      <c r="D26">
        <v>215</v>
      </c>
      <c r="E26">
        <v>19</v>
      </c>
      <c r="F26">
        <v>2</v>
      </c>
      <c r="G26">
        <v>314</v>
      </c>
      <c r="H26">
        <f t="shared" si="2"/>
        <v>57</v>
      </c>
      <c r="I26">
        <f t="shared" si="3"/>
        <v>95</v>
      </c>
      <c r="J26" t="str">
        <f t="shared" si="4"/>
        <v>OK</v>
      </c>
      <c r="K26">
        <f t="shared" si="5"/>
        <v>76</v>
      </c>
      <c r="L26">
        <f t="shared" si="0"/>
        <v>67510</v>
      </c>
      <c r="M26" t="str">
        <f t="shared" si="1"/>
        <v>Low Risk</v>
      </c>
    </row>
    <row r="27" spans="1:13" x14ac:dyDescent="0.35">
      <c r="A27" t="s">
        <v>36</v>
      </c>
      <c r="B27" t="s">
        <v>86</v>
      </c>
      <c r="C27" t="s">
        <v>11</v>
      </c>
      <c r="D27">
        <v>38</v>
      </c>
      <c r="E27">
        <v>16</v>
      </c>
      <c r="F27">
        <v>9</v>
      </c>
      <c r="G27">
        <v>48</v>
      </c>
      <c r="H27">
        <f t="shared" si="2"/>
        <v>48</v>
      </c>
      <c r="I27">
        <f t="shared" si="3"/>
        <v>192</v>
      </c>
      <c r="J27" t="str">
        <f t="shared" si="4"/>
        <v>ORDER NOW</v>
      </c>
      <c r="K27">
        <f t="shared" si="5"/>
        <v>288</v>
      </c>
      <c r="L27">
        <f t="shared" si="0"/>
        <v>1824</v>
      </c>
      <c r="M27" t="str">
        <f t="shared" si="1"/>
        <v>Medium Risk</v>
      </c>
    </row>
    <row r="28" spans="1:13" x14ac:dyDescent="0.35">
      <c r="A28" t="s">
        <v>37</v>
      </c>
      <c r="B28" t="s">
        <v>87</v>
      </c>
      <c r="C28" t="s">
        <v>11</v>
      </c>
      <c r="D28">
        <v>332</v>
      </c>
      <c r="E28">
        <v>6</v>
      </c>
      <c r="F28">
        <v>9</v>
      </c>
      <c r="G28">
        <v>428</v>
      </c>
      <c r="H28">
        <f t="shared" si="2"/>
        <v>18</v>
      </c>
      <c r="I28">
        <f t="shared" si="3"/>
        <v>72</v>
      </c>
      <c r="J28" t="str">
        <f t="shared" si="4"/>
        <v>OK</v>
      </c>
      <c r="K28">
        <f t="shared" si="5"/>
        <v>108</v>
      </c>
      <c r="L28">
        <f t="shared" si="0"/>
        <v>142096</v>
      </c>
      <c r="M28" t="str">
        <f t="shared" si="1"/>
        <v>Medium Risk</v>
      </c>
    </row>
    <row r="29" spans="1:13" x14ac:dyDescent="0.35">
      <c r="A29" t="s">
        <v>38</v>
      </c>
      <c r="B29" t="s">
        <v>88</v>
      </c>
      <c r="C29" t="s">
        <v>8</v>
      </c>
      <c r="D29">
        <v>226</v>
      </c>
      <c r="E29">
        <v>4</v>
      </c>
      <c r="F29">
        <v>18</v>
      </c>
      <c r="G29">
        <v>313</v>
      </c>
      <c r="H29">
        <f t="shared" si="2"/>
        <v>12</v>
      </c>
      <c r="I29">
        <f t="shared" si="3"/>
        <v>84</v>
      </c>
      <c r="J29" t="str">
        <f t="shared" si="4"/>
        <v>OK</v>
      </c>
      <c r="K29">
        <f t="shared" si="5"/>
        <v>144</v>
      </c>
      <c r="L29">
        <f t="shared" si="0"/>
        <v>70738</v>
      </c>
      <c r="M29" t="str">
        <f t="shared" si="1"/>
        <v>High Risk (Long Lead Time)</v>
      </c>
    </row>
    <row r="30" spans="1:13" x14ac:dyDescent="0.35">
      <c r="A30" t="s">
        <v>39</v>
      </c>
      <c r="B30" t="s">
        <v>89</v>
      </c>
      <c r="C30" t="s">
        <v>11</v>
      </c>
      <c r="D30">
        <v>355</v>
      </c>
      <c r="E30">
        <v>16</v>
      </c>
      <c r="F30">
        <v>12</v>
      </c>
      <c r="G30">
        <v>373</v>
      </c>
      <c r="H30">
        <f t="shared" si="2"/>
        <v>48</v>
      </c>
      <c r="I30">
        <f t="shared" si="3"/>
        <v>240</v>
      </c>
      <c r="J30" t="str">
        <f t="shared" si="4"/>
        <v>OK</v>
      </c>
      <c r="K30">
        <f t="shared" si="5"/>
        <v>384</v>
      </c>
      <c r="L30">
        <f t="shared" si="0"/>
        <v>132415</v>
      </c>
      <c r="M30" t="str">
        <f t="shared" si="1"/>
        <v>Medium Risk</v>
      </c>
    </row>
    <row r="31" spans="1:13" x14ac:dyDescent="0.35">
      <c r="A31" t="s">
        <v>40</v>
      </c>
      <c r="B31" t="s">
        <v>90</v>
      </c>
      <c r="C31" t="s">
        <v>15</v>
      </c>
      <c r="D31">
        <v>137</v>
      </c>
      <c r="E31">
        <v>16</v>
      </c>
      <c r="F31">
        <v>5</v>
      </c>
      <c r="G31">
        <v>435</v>
      </c>
      <c r="H31">
        <f t="shared" si="2"/>
        <v>48</v>
      </c>
      <c r="I31">
        <f t="shared" si="3"/>
        <v>128</v>
      </c>
      <c r="J31" t="str">
        <f t="shared" si="4"/>
        <v>OK</v>
      </c>
      <c r="K31">
        <f t="shared" si="5"/>
        <v>160</v>
      </c>
      <c r="L31">
        <f t="shared" si="0"/>
        <v>59595</v>
      </c>
      <c r="M31" t="str">
        <f t="shared" si="1"/>
        <v>Low Risk</v>
      </c>
    </row>
    <row r="32" spans="1:13" x14ac:dyDescent="0.35">
      <c r="A32" t="s">
        <v>41</v>
      </c>
      <c r="B32" t="s">
        <v>91</v>
      </c>
      <c r="C32" t="s">
        <v>19</v>
      </c>
      <c r="D32">
        <v>111</v>
      </c>
      <c r="E32">
        <v>20</v>
      </c>
      <c r="F32">
        <v>16</v>
      </c>
      <c r="G32">
        <v>86</v>
      </c>
      <c r="H32">
        <f t="shared" si="2"/>
        <v>60</v>
      </c>
      <c r="I32">
        <f t="shared" si="3"/>
        <v>380</v>
      </c>
      <c r="J32" t="str">
        <f t="shared" si="4"/>
        <v>ORDER NOW</v>
      </c>
      <c r="K32">
        <f t="shared" si="5"/>
        <v>640</v>
      </c>
      <c r="L32">
        <f t="shared" si="0"/>
        <v>9546</v>
      </c>
      <c r="M32" t="str">
        <f t="shared" si="1"/>
        <v>High Risk (Long Lead Time)</v>
      </c>
    </row>
    <row r="33" spans="1:13" x14ac:dyDescent="0.35">
      <c r="A33" t="s">
        <v>42</v>
      </c>
      <c r="B33" t="s">
        <v>92</v>
      </c>
      <c r="C33" t="s">
        <v>19</v>
      </c>
      <c r="D33">
        <v>142</v>
      </c>
      <c r="E33">
        <v>27</v>
      </c>
      <c r="F33">
        <v>2</v>
      </c>
      <c r="G33">
        <v>33</v>
      </c>
      <c r="H33">
        <f t="shared" si="2"/>
        <v>81</v>
      </c>
      <c r="I33">
        <f t="shared" si="3"/>
        <v>135</v>
      </c>
      <c r="J33" t="str">
        <f t="shared" si="4"/>
        <v>OK</v>
      </c>
      <c r="K33">
        <f t="shared" si="5"/>
        <v>108</v>
      </c>
      <c r="L33">
        <f t="shared" si="0"/>
        <v>4686</v>
      </c>
      <c r="M33" t="str">
        <f t="shared" si="1"/>
        <v>Low Risk</v>
      </c>
    </row>
    <row r="34" spans="1:13" x14ac:dyDescent="0.35">
      <c r="A34" t="s">
        <v>43</v>
      </c>
      <c r="B34" t="s">
        <v>93</v>
      </c>
      <c r="C34" t="s">
        <v>11</v>
      </c>
      <c r="D34">
        <v>26</v>
      </c>
      <c r="E34">
        <v>16</v>
      </c>
      <c r="F34">
        <v>13</v>
      </c>
      <c r="G34">
        <v>153</v>
      </c>
      <c r="H34">
        <f t="shared" si="2"/>
        <v>48</v>
      </c>
      <c r="I34">
        <f t="shared" si="3"/>
        <v>256</v>
      </c>
      <c r="J34" t="str">
        <f t="shared" si="4"/>
        <v>ORDER NOW</v>
      </c>
      <c r="K34">
        <f t="shared" si="5"/>
        <v>416</v>
      </c>
      <c r="L34">
        <f t="shared" ref="L34:L51" si="6">D34 * G34</f>
        <v>3978</v>
      </c>
      <c r="M34" t="str">
        <f t="shared" ref="M34:M51" si="7">IF(F34&gt;14, "High Risk (Long Lead Time)", IF(F34&gt;7, "Medium Risk", "Low Risk"))</f>
        <v>Medium Risk</v>
      </c>
    </row>
    <row r="35" spans="1:13" x14ac:dyDescent="0.35">
      <c r="A35" t="s">
        <v>44</v>
      </c>
      <c r="B35" t="s">
        <v>94</v>
      </c>
      <c r="C35" t="s">
        <v>15</v>
      </c>
      <c r="D35">
        <v>119</v>
      </c>
      <c r="E35">
        <v>7</v>
      </c>
      <c r="F35">
        <v>4</v>
      </c>
      <c r="G35">
        <v>299</v>
      </c>
      <c r="H35">
        <f t="shared" si="2"/>
        <v>21</v>
      </c>
      <c r="I35">
        <f t="shared" si="3"/>
        <v>49</v>
      </c>
      <c r="J35" t="str">
        <f t="shared" si="4"/>
        <v>OK</v>
      </c>
      <c r="K35">
        <f t="shared" si="5"/>
        <v>56</v>
      </c>
      <c r="L35">
        <f t="shared" si="6"/>
        <v>35581</v>
      </c>
      <c r="M35" t="str">
        <f t="shared" si="7"/>
        <v>Low Risk</v>
      </c>
    </row>
    <row r="36" spans="1:13" x14ac:dyDescent="0.35">
      <c r="A36" t="s">
        <v>45</v>
      </c>
      <c r="B36" t="s">
        <v>95</v>
      </c>
      <c r="C36" t="s">
        <v>11</v>
      </c>
      <c r="D36">
        <v>142</v>
      </c>
      <c r="E36">
        <v>8</v>
      </c>
      <c r="F36">
        <v>17</v>
      </c>
      <c r="G36">
        <v>166</v>
      </c>
      <c r="H36">
        <f t="shared" si="2"/>
        <v>24</v>
      </c>
      <c r="I36">
        <f t="shared" si="3"/>
        <v>160</v>
      </c>
      <c r="J36" t="str">
        <f t="shared" si="4"/>
        <v>ORDER NOW</v>
      </c>
      <c r="K36">
        <f t="shared" si="5"/>
        <v>272</v>
      </c>
      <c r="L36">
        <f t="shared" si="6"/>
        <v>23572</v>
      </c>
      <c r="M36" t="str">
        <f t="shared" si="7"/>
        <v>High Risk (Long Lead Time)</v>
      </c>
    </row>
    <row r="37" spans="1:13" x14ac:dyDescent="0.35">
      <c r="A37" t="s">
        <v>46</v>
      </c>
      <c r="B37" t="s">
        <v>96</v>
      </c>
      <c r="C37" t="s">
        <v>15</v>
      </c>
      <c r="D37">
        <v>88</v>
      </c>
      <c r="E37">
        <v>2</v>
      </c>
      <c r="F37">
        <v>11</v>
      </c>
      <c r="G37">
        <v>182</v>
      </c>
      <c r="H37">
        <f t="shared" si="2"/>
        <v>6</v>
      </c>
      <c r="I37">
        <f t="shared" si="3"/>
        <v>28</v>
      </c>
      <c r="J37" t="str">
        <f t="shared" si="4"/>
        <v>OK</v>
      </c>
      <c r="K37">
        <f t="shared" si="5"/>
        <v>44</v>
      </c>
      <c r="L37">
        <f t="shared" si="6"/>
        <v>16016</v>
      </c>
      <c r="M37" t="str">
        <f t="shared" si="7"/>
        <v>Medium Risk</v>
      </c>
    </row>
    <row r="38" spans="1:13" x14ac:dyDescent="0.35">
      <c r="A38" t="s">
        <v>47</v>
      </c>
      <c r="B38" t="s">
        <v>97</v>
      </c>
      <c r="C38" t="s">
        <v>15</v>
      </c>
      <c r="D38">
        <v>212</v>
      </c>
      <c r="E38">
        <v>11</v>
      </c>
      <c r="F38">
        <v>16</v>
      </c>
      <c r="G38">
        <v>461</v>
      </c>
      <c r="H38">
        <f t="shared" si="2"/>
        <v>33</v>
      </c>
      <c r="I38">
        <f t="shared" si="3"/>
        <v>209</v>
      </c>
      <c r="J38" t="str">
        <f t="shared" si="4"/>
        <v>OK</v>
      </c>
      <c r="K38">
        <f t="shared" si="5"/>
        <v>352</v>
      </c>
      <c r="L38">
        <f t="shared" si="6"/>
        <v>97732</v>
      </c>
      <c r="M38" t="str">
        <f t="shared" si="7"/>
        <v>High Risk (Long Lead Time)</v>
      </c>
    </row>
    <row r="39" spans="1:13" x14ac:dyDescent="0.35">
      <c r="A39" t="s">
        <v>48</v>
      </c>
      <c r="B39" t="s">
        <v>98</v>
      </c>
      <c r="C39" t="s">
        <v>8</v>
      </c>
      <c r="D39">
        <v>243</v>
      </c>
      <c r="E39">
        <v>10</v>
      </c>
      <c r="F39">
        <v>9</v>
      </c>
      <c r="G39">
        <v>204</v>
      </c>
      <c r="H39">
        <f t="shared" si="2"/>
        <v>30</v>
      </c>
      <c r="I39">
        <f t="shared" si="3"/>
        <v>120</v>
      </c>
      <c r="J39" t="str">
        <f t="shared" si="4"/>
        <v>OK</v>
      </c>
      <c r="K39">
        <f t="shared" si="5"/>
        <v>180</v>
      </c>
      <c r="L39">
        <f t="shared" si="6"/>
        <v>49572</v>
      </c>
      <c r="M39" t="str">
        <f t="shared" si="7"/>
        <v>Medium Risk</v>
      </c>
    </row>
    <row r="40" spans="1:13" x14ac:dyDescent="0.35">
      <c r="A40" t="s">
        <v>49</v>
      </c>
      <c r="B40" t="s">
        <v>99</v>
      </c>
      <c r="C40" t="s">
        <v>8</v>
      </c>
      <c r="D40">
        <v>494</v>
      </c>
      <c r="E40">
        <v>17</v>
      </c>
      <c r="F40">
        <v>15</v>
      </c>
      <c r="G40">
        <v>230</v>
      </c>
      <c r="H40">
        <f t="shared" si="2"/>
        <v>51</v>
      </c>
      <c r="I40">
        <f t="shared" si="3"/>
        <v>306</v>
      </c>
      <c r="J40" t="str">
        <f t="shared" si="4"/>
        <v>OK</v>
      </c>
      <c r="K40">
        <f t="shared" si="5"/>
        <v>510</v>
      </c>
      <c r="L40">
        <f t="shared" si="6"/>
        <v>113620</v>
      </c>
      <c r="M40" t="str">
        <f t="shared" si="7"/>
        <v>High Risk (Long Lead Time)</v>
      </c>
    </row>
    <row r="41" spans="1:13" x14ac:dyDescent="0.35">
      <c r="A41" t="s">
        <v>50</v>
      </c>
      <c r="B41" t="s">
        <v>100</v>
      </c>
      <c r="C41" t="s">
        <v>15</v>
      </c>
      <c r="D41">
        <v>384</v>
      </c>
      <c r="E41">
        <v>19</v>
      </c>
      <c r="F41">
        <v>12</v>
      </c>
      <c r="G41">
        <v>182</v>
      </c>
      <c r="H41">
        <f t="shared" si="2"/>
        <v>57</v>
      </c>
      <c r="I41">
        <f t="shared" si="3"/>
        <v>285</v>
      </c>
      <c r="J41" t="str">
        <f t="shared" si="4"/>
        <v>OK</v>
      </c>
      <c r="K41">
        <f t="shared" si="5"/>
        <v>456</v>
      </c>
      <c r="L41">
        <f t="shared" si="6"/>
        <v>69888</v>
      </c>
      <c r="M41" t="str">
        <f t="shared" si="7"/>
        <v>Medium Risk</v>
      </c>
    </row>
    <row r="42" spans="1:13" x14ac:dyDescent="0.35">
      <c r="A42" t="s">
        <v>51</v>
      </c>
      <c r="B42" t="s">
        <v>101</v>
      </c>
      <c r="C42" t="s">
        <v>8</v>
      </c>
      <c r="D42">
        <v>111</v>
      </c>
      <c r="E42">
        <v>14</v>
      </c>
      <c r="F42">
        <v>3</v>
      </c>
      <c r="G42">
        <v>134</v>
      </c>
      <c r="H42">
        <f t="shared" si="2"/>
        <v>42</v>
      </c>
      <c r="I42">
        <f t="shared" si="3"/>
        <v>84</v>
      </c>
      <c r="J42" t="str">
        <f t="shared" si="4"/>
        <v>OK</v>
      </c>
      <c r="K42">
        <f t="shared" si="5"/>
        <v>84</v>
      </c>
      <c r="L42">
        <f t="shared" si="6"/>
        <v>14874</v>
      </c>
      <c r="M42" t="str">
        <f t="shared" si="7"/>
        <v>Low Risk</v>
      </c>
    </row>
    <row r="43" spans="1:13" x14ac:dyDescent="0.35">
      <c r="A43" t="s">
        <v>52</v>
      </c>
      <c r="B43" t="s">
        <v>102</v>
      </c>
      <c r="C43" t="s">
        <v>15</v>
      </c>
      <c r="D43">
        <v>222</v>
      </c>
      <c r="E43">
        <v>3</v>
      </c>
      <c r="F43">
        <v>14</v>
      </c>
      <c r="G43">
        <v>349</v>
      </c>
      <c r="H43">
        <f t="shared" si="2"/>
        <v>9</v>
      </c>
      <c r="I43">
        <f t="shared" si="3"/>
        <v>51</v>
      </c>
      <c r="J43" t="str">
        <f t="shared" si="4"/>
        <v>OK</v>
      </c>
      <c r="K43">
        <f t="shared" si="5"/>
        <v>84</v>
      </c>
      <c r="L43">
        <f t="shared" si="6"/>
        <v>77478</v>
      </c>
      <c r="M43" t="str">
        <f t="shared" si="7"/>
        <v>Medium Risk</v>
      </c>
    </row>
    <row r="44" spans="1:13" x14ac:dyDescent="0.35">
      <c r="A44" t="s">
        <v>53</v>
      </c>
      <c r="B44" t="s">
        <v>103</v>
      </c>
      <c r="C44" t="s">
        <v>11</v>
      </c>
      <c r="D44">
        <v>43</v>
      </c>
      <c r="E44">
        <v>25</v>
      </c>
      <c r="F44">
        <v>3</v>
      </c>
      <c r="G44">
        <v>250</v>
      </c>
      <c r="H44">
        <f t="shared" si="2"/>
        <v>75</v>
      </c>
      <c r="I44">
        <f t="shared" si="3"/>
        <v>150</v>
      </c>
      <c r="J44" t="str">
        <f t="shared" si="4"/>
        <v>ORDER NOW</v>
      </c>
      <c r="K44">
        <f t="shared" si="5"/>
        <v>150</v>
      </c>
      <c r="L44">
        <f t="shared" si="6"/>
        <v>10750</v>
      </c>
      <c r="M44" t="str">
        <f t="shared" si="7"/>
        <v>Low Risk</v>
      </c>
    </row>
    <row r="45" spans="1:13" x14ac:dyDescent="0.35">
      <c r="A45" t="s">
        <v>54</v>
      </c>
      <c r="B45" t="s">
        <v>104</v>
      </c>
      <c r="C45" t="s">
        <v>19</v>
      </c>
      <c r="D45">
        <v>78</v>
      </c>
      <c r="E45">
        <v>22</v>
      </c>
      <c r="F45">
        <v>10</v>
      </c>
      <c r="G45">
        <v>480</v>
      </c>
      <c r="H45">
        <f t="shared" si="2"/>
        <v>66</v>
      </c>
      <c r="I45">
        <f t="shared" si="3"/>
        <v>286</v>
      </c>
      <c r="J45" t="str">
        <f t="shared" si="4"/>
        <v>ORDER NOW</v>
      </c>
      <c r="K45">
        <f t="shared" si="5"/>
        <v>440</v>
      </c>
      <c r="L45">
        <f t="shared" si="6"/>
        <v>37440</v>
      </c>
      <c r="M45" t="str">
        <f t="shared" si="7"/>
        <v>Medium Risk</v>
      </c>
    </row>
    <row r="46" spans="1:13" x14ac:dyDescent="0.35">
      <c r="A46" t="s">
        <v>55</v>
      </c>
      <c r="B46" t="s">
        <v>105</v>
      </c>
      <c r="C46" t="s">
        <v>8</v>
      </c>
      <c r="D46">
        <v>68</v>
      </c>
      <c r="E46">
        <v>4</v>
      </c>
      <c r="F46">
        <v>14</v>
      </c>
      <c r="G46">
        <v>21</v>
      </c>
      <c r="H46">
        <f t="shared" si="2"/>
        <v>12</v>
      </c>
      <c r="I46">
        <f t="shared" si="3"/>
        <v>68</v>
      </c>
      <c r="J46" t="str">
        <f t="shared" si="4"/>
        <v>ORDER NOW</v>
      </c>
      <c r="K46">
        <f t="shared" si="5"/>
        <v>112</v>
      </c>
      <c r="L46">
        <f t="shared" si="6"/>
        <v>1428</v>
      </c>
      <c r="M46" t="str">
        <f t="shared" si="7"/>
        <v>Medium Risk</v>
      </c>
    </row>
    <row r="47" spans="1:13" x14ac:dyDescent="0.35">
      <c r="A47" t="s">
        <v>56</v>
      </c>
      <c r="B47" t="s">
        <v>106</v>
      </c>
      <c r="C47" t="s">
        <v>19</v>
      </c>
      <c r="D47">
        <v>141</v>
      </c>
      <c r="E47">
        <v>12</v>
      </c>
      <c r="F47">
        <v>17</v>
      </c>
      <c r="G47">
        <v>323</v>
      </c>
      <c r="H47">
        <f t="shared" si="2"/>
        <v>36</v>
      </c>
      <c r="I47">
        <f t="shared" si="3"/>
        <v>240</v>
      </c>
      <c r="J47" t="str">
        <f t="shared" si="4"/>
        <v>ORDER NOW</v>
      </c>
      <c r="K47">
        <f t="shared" si="5"/>
        <v>408</v>
      </c>
      <c r="L47">
        <f t="shared" si="6"/>
        <v>45543</v>
      </c>
      <c r="M47" t="str">
        <f t="shared" si="7"/>
        <v>High Risk (Long Lead Time)</v>
      </c>
    </row>
    <row r="48" spans="1:13" x14ac:dyDescent="0.35">
      <c r="A48" t="s">
        <v>57</v>
      </c>
      <c r="B48" t="s">
        <v>107</v>
      </c>
      <c r="C48" t="s">
        <v>19</v>
      </c>
      <c r="D48">
        <v>269</v>
      </c>
      <c r="E48">
        <v>24</v>
      </c>
      <c r="F48">
        <v>2</v>
      </c>
      <c r="G48">
        <v>292</v>
      </c>
      <c r="H48">
        <f t="shared" si="2"/>
        <v>72</v>
      </c>
      <c r="I48">
        <f t="shared" si="3"/>
        <v>120</v>
      </c>
      <c r="J48" t="str">
        <f t="shared" si="4"/>
        <v>OK</v>
      </c>
      <c r="K48">
        <f t="shared" si="5"/>
        <v>96</v>
      </c>
      <c r="L48">
        <f t="shared" si="6"/>
        <v>78548</v>
      </c>
      <c r="M48" t="str">
        <f t="shared" si="7"/>
        <v>Low Risk</v>
      </c>
    </row>
    <row r="49" spans="1:13" x14ac:dyDescent="0.35">
      <c r="A49" t="s">
        <v>58</v>
      </c>
      <c r="B49" t="s">
        <v>108</v>
      </c>
      <c r="C49" t="s">
        <v>19</v>
      </c>
      <c r="D49">
        <v>403</v>
      </c>
      <c r="E49">
        <v>8</v>
      </c>
      <c r="F49">
        <v>11</v>
      </c>
      <c r="G49">
        <v>25</v>
      </c>
      <c r="H49">
        <f t="shared" si="2"/>
        <v>24</v>
      </c>
      <c r="I49">
        <f t="shared" si="3"/>
        <v>112</v>
      </c>
      <c r="J49" t="str">
        <f t="shared" si="4"/>
        <v>OK</v>
      </c>
      <c r="K49">
        <f t="shared" si="5"/>
        <v>176</v>
      </c>
      <c r="L49">
        <f t="shared" si="6"/>
        <v>10075</v>
      </c>
      <c r="M49" t="str">
        <f t="shared" si="7"/>
        <v>Medium Risk</v>
      </c>
    </row>
    <row r="50" spans="1:13" x14ac:dyDescent="0.35">
      <c r="A50" t="s">
        <v>59</v>
      </c>
      <c r="B50" t="s">
        <v>109</v>
      </c>
      <c r="C50" t="s">
        <v>8</v>
      </c>
      <c r="D50">
        <v>183</v>
      </c>
      <c r="E50">
        <v>27</v>
      </c>
      <c r="F50">
        <v>16</v>
      </c>
      <c r="G50">
        <v>164</v>
      </c>
      <c r="H50">
        <f t="shared" si="2"/>
        <v>81</v>
      </c>
      <c r="I50">
        <f t="shared" si="3"/>
        <v>513</v>
      </c>
      <c r="J50" t="str">
        <f t="shared" si="4"/>
        <v>ORDER NOW</v>
      </c>
      <c r="K50">
        <f t="shared" si="5"/>
        <v>864</v>
      </c>
      <c r="L50">
        <f t="shared" si="6"/>
        <v>30012</v>
      </c>
      <c r="M50" t="str">
        <f t="shared" si="7"/>
        <v>High Risk (Long Lead Time)</v>
      </c>
    </row>
    <row r="51" spans="1:13" x14ac:dyDescent="0.35">
      <c r="A51" t="s">
        <v>60</v>
      </c>
      <c r="B51" t="s">
        <v>110</v>
      </c>
      <c r="C51" t="s">
        <v>19</v>
      </c>
      <c r="D51">
        <v>126</v>
      </c>
      <c r="E51">
        <v>15</v>
      </c>
      <c r="F51">
        <v>11</v>
      </c>
      <c r="G51">
        <v>202</v>
      </c>
      <c r="H51">
        <f t="shared" si="2"/>
        <v>45</v>
      </c>
      <c r="I51">
        <f t="shared" si="3"/>
        <v>210</v>
      </c>
      <c r="J51" t="str">
        <f t="shared" si="4"/>
        <v>ORDER NOW</v>
      </c>
      <c r="K51">
        <f t="shared" si="5"/>
        <v>330</v>
      </c>
      <c r="L51">
        <f t="shared" si="6"/>
        <v>25452</v>
      </c>
      <c r="M51" t="str">
        <f t="shared" si="7"/>
        <v>Medium Risk</v>
      </c>
    </row>
  </sheetData>
  <conditionalFormatting sqref="D2:D51">
    <cfRule type="expression" dxfId="2" priority="1">
      <formula>D2&lt;10</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272AA-9327-4B9B-9885-B40B04B6CF18}">
  <dimension ref="A1:B5"/>
  <sheetViews>
    <sheetView workbookViewId="0">
      <selection activeCell="J5" sqref="J5"/>
    </sheetView>
  </sheetViews>
  <sheetFormatPr defaultRowHeight="14.5" x14ac:dyDescent="0.35"/>
  <cols>
    <col min="1" max="1" width="23.08984375" bestFit="1" customWidth="1"/>
    <col min="2" max="2" width="20.26953125" bestFit="1" customWidth="1"/>
  </cols>
  <sheetData>
    <row r="1" spans="1:2" x14ac:dyDescent="0.35">
      <c r="A1" s="1" t="s">
        <v>114</v>
      </c>
      <c r="B1" t="s">
        <v>137</v>
      </c>
    </row>
    <row r="2" spans="1:2" x14ac:dyDescent="0.35">
      <c r="A2" s="2" t="s">
        <v>134</v>
      </c>
      <c r="B2" s="9">
        <v>13</v>
      </c>
    </row>
    <row r="3" spans="1:2" x14ac:dyDescent="0.35">
      <c r="A3" s="2" t="s">
        <v>135</v>
      </c>
      <c r="B3" s="9">
        <v>20</v>
      </c>
    </row>
    <row r="4" spans="1:2" x14ac:dyDescent="0.35">
      <c r="A4" s="2" t="s">
        <v>136</v>
      </c>
      <c r="B4" s="9">
        <v>17</v>
      </c>
    </row>
    <row r="5" spans="1:2" x14ac:dyDescent="0.35">
      <c r="A5" s="2" t="s">
        <v>115</v>
      </c>
      <c r="B5" s="9">
        <v>50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406B6-48DC-4BA7-8893-FCFA9A249227}">
  <dimension ref="A1:C6"/>
  <sheetViews>
    <sheetView workbookViewId="0">
      <selection activeCell="AA23" sqref="AA23"/>
    </sheetView>
  </sheetViews>
  <sheetFormatPr defaultRowHeight="14.5" x14ac:dyDescent="0.35"/>
  <cols>
    <col min="1" max="1" width="17.1796875" bestFit="1" customWidth="1"/>
    <col min="2" max="2" width="15.26953125" bestFit="1" customWidth="1"/>
    <col min="3" max="3" width="11.54296875" bestFit="1" customWidth="1"/>
    <col min="4" max="4" width="10.7265625" bestFit="1" customWidth="1"/>
  </cols>
  <sheetData>
    <row r="1" spans="1:3" x14ac:dyDescent="0.35">
      <c r="A1" s="1" t="s">
        <v>120</v>
      </c>
      <c r="B1" s="1" t="s">
        <v>117</v>
      </c>
    </row>
    <row r="2" spans="1:3" x14ac:dyDescent="0.35">
      <c r="A2" s="1" t="s">
        <v>114</v>
      </c>
      <c r="B2" t="s">
        <v>118</v>
      </c>
      <c r="C2" t="s">
        <v>119</v>
      </c>
    </row>
    <row r="3" spans="1:3" x14ac:dyDescent="0.35">
      <c r="A3" s="2" t="s">
        <v>11</v>
      </c>
      <c r="B3" s="9">
        <v>5</v>
      </c>
      <c r="C3" s="9">
        <v>6</v>
      </c>
    </row>
    <row r="4" spans="1:3" x14ac:dyDescent="0.35">
      <c r="A4" s="2" t="s">
        <v>15</v>
      </c>
      <c r="B4" s="9">
        <v>7</v>
      </c>
      <c r="C4" s="9">
        <v>1</v>
      </c>
    </row>
    <row r="5" spans="1:3" x14ac:dyDescent="0.35">
      <c r="A5" s="2" t="s">
        <v>19</v>
      </c>
      <c r="B5" s="9">
        <v>10</v>
      </c>
      <c r="C5" s="9">
        <v>7</v>
      </c>
    </row>
    <row r="6" spans="1:3" x14ac:dyDescent="0.35">
      <c r="A6" s="2" t="s">
        <v>8</v>
      </c>
      <c r="B6" s="9">
        <v>9</v>
      </c>
      <c r="C6" s="9">
        <v>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BC2AF-FA5E-48E6-A401-9F77BE84D8AA}">
  <dimension ref="A1:B6"/>
  <sheetViews>
    <sheetView workbookViewId="0">
      <selection activeCell="AA23" sqref="AA23"/>
    </sheetView>
  </sheetViews>
  <sheetFormatPr defaultRowHeight="14.5" x14ac:dyDescent="0.35"/>
  <cols>
    <col min="1" max="1" width="12.36328125" bestFit="1" customWidth="1"/>
    <col min="2" max="2" width="21.6328125" bestFit="1" customWidth="1"/>
  </cols>
  <sheetData>
    <row r="1" spans="1:2" x14ac:dyDescent="0.35">
      <c r="A1" s="1" t="s">
        <v>114</v>
      </c>
      <c r="B1" t="s">
        <v>121</v>
      </c>
    </row>
    <row r="2" spans="1:2" x14ac:dyDescent="0.35">
      <c r="A2" s="2" t="s">
        <v>11</v>
      </c>
      <c r="B2" s="9">
        <v>193.18181818181819</v>
      </c>
    </row>
    <row r="3" spans="1:2" x14ac:dyDescent="0.35">
      <c r="A3" s="2" t="s">
        <v>15</v>
      </c>
      <c r="B3" s="9">
        <v>124.375</v>
      </c>
    </row>
    <row r="4" spans="1:2" x14ac:dyDescent="0.35">
      <c r="A4" s="2" t="s">
        <v>19</v>
      </c>
      <c r="B4" s="9">
        <v>189.8235294117647</v>
      </c>
    </row>
    <row r="5" spans="1:2" x14ac:dyDescent="0.35">
      <c r="A5" s="2" t="s">
        <v>8</v>
      </c>
      <c r="B5" s="9">
        <v>226.85714285714286</v>
      </c>
    </row>
    <row r="6" spans="1:2" x14ac:dyDescent="0.35">
      <c r="A6" s="2" t="s">
        <v>115</v>
      </c>
      <c r="B6" s="9">
        <v>190.46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D1256-D36B-450E-A2BB-9C9801A6692B}">
  <dimension ref="A1:C13"/>
  <sheetViews>
    <sheetView workbookViewId="0">
      <selection activeCell="AA23" sqref="AA23"/>
    </sheetView>
  </sheetViews>
  <sheetFormatPr defaultRowHeight="14.5" x14ac:dyDescent="0.35"/>
  <cols>
    <col min="1" max="1" width="12.36328125" bestFit="1" customWidth="1"/>
    <col min="2" max="2" width="18.26953125" bestFit="1" customWidth="1"/>
    <col min="3" max="3" width="17" bestFit="1" customWidth="1"/>
    <col min="4" max="4" width="23.08984375" bestFit="1" customWidth="1"/>
    <col min="5" max="5" width="21.81640625" bestFit="1" customWidth="1"/>
  </cols>
  <sheetData>
    <row r="1" spans="1:3" x14ac:dyDescent="0.35">
      <c r="B1" s="1" t="s">
        <v>117</v>
      </c>
    </row>
    <row r="2" spans="1:3" x14ac:dyDescent="0.35">
      <c r="B2" t="s">
        <v>119</v>
      </c>
    </row>
    <row r="3" spans="1:3" x14ac:dyDescent="0.35">
      <c r="A3" s="1" t="s">
        <v>114</v>
      </c>
      <c r="B3" t="s">
        <v>122</v>
      </c>
      <c r="C3" t="s">
        <v>123</v>
      </c>
    </row>
    <row r="4" spans="1:3" x14ac:dyDescent="0.35">
      <c r="A4" s="2" t="s">
        <v>109</v>
      </c>
      <c r="B4" s="9">
        <v>183</v>
      </c>
      <c r="C4" s="9">
        <v>864</v>
      </c>
    </row>
    <row r="5" spans="1:3" x14ac:dyDescent="0.35">
      <c r="A5" s="2" t="s">
        <v>95</v>
      </c>
      <c r="B5" s="9">
        <v>142</v>
      </c>
      <c r="C5" s="9">
        <v>272</v>
      </c>
    </row>
    <row r="6" spans="1:3" x14ac:dyDescent="0.35">
      <c r="A6" s="2" t="s">
        <v>84</v>
      </c>
      <c r="B6" s="9">
        <v>187</v>
      </c>
      <c r="C6" s="9">
        <v>368</v>
      </c>
    </row>
    <row r="7" spans="1:3" x14ac:dyDescent="0.35">
      <c r="A7" s="2" t="s">
        <v>79</v>
      </c>
      <c r="B7" s="9">
        <v>285</v>
      </c>
      <c r="C7" s="9">
        <v>960</v>
      </c>
    </row>
    <row r="8" spans="1:3" x14ac:dyDescent="0.35">
      <c r="A8" s="2" t="s">
        <v>63</v>
      </c>
      <c r="B8" s="9">
        <v>380</v>
      </c>
      <c r="C8" s="9">
        <v>840</v>
      </c>
    </row>
    <row r="9" spans="1:3" x14ac:dyDescent="0.35">
      <c r="A9" s="2" t="s">
        <v>74</v>
      </c>
      <c r="B9" s="9">
        <v>195</v>
      </c>
      <c r="C9" s="9">
        <v>340</v>
      </c>
    </row>
    <row r="10" spans="1:3" x14ac:dyDescent="0.35">
      <c r="A10" s="2" t="s">
        <v>110</v>
      </c>
      <c r="B10" s="9">
        <v>126</v>
      </c>
      <c r="C10" s="9">
        <v>330</v>
      </c>
    </row>
    <row r="11" spans="1:3" x14ac:dyDescent="0.35">
      <c r="A11" s="2" t="s">
        <v>80</v>
      </c>
      <c r="B11" s="9">
        <v>418</v>
      </c>
      <c r="C11" s="9">
        <v>1080</v>
      </c>
    </row>
    <row r="12" spans="1:3" x14ac:dyDescent="0.35">
      <c r="A12" s="2" t="s">
        <v>78</v>
      </c>
      <c r="B12" s="9">
        <v>171</v>
      </c>
      <c r="C12" s="9">
        <v>432</v>
      </c>
    </row>
    <row r="13" spans="1:3" x14ac:dyDescent="0.35">
      <c r="A13" s="2" t="s">
        <v>106</v>
      </c>
      <c r="B13" s="9">
        <v>141</v>
      </c>
      <c r="C13" s="9">
        <v>408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00FDE-2D66-4375-AEBE-E306C06B0A0C}">
  <dimension ref="A1:B3"/>
  <sheetViews>
    <sheetView workbookViewId="0">
      <selection activeCell="G18" sqref="G18"/>
    </sheetView>
  </sheetViews>
  <sheetFormatPr defaultRowHeight="14.5" x14ac:dyDescent="0.35"/>
  <cols>
    <col min="1" max="1" width="12.36328125" bestFit="1" customWidth="1"/>
    <col min="2" max="2" width="16.453125" bestFit="1" customWidth="1"/>
  </cols>
  <sheetData>
    <row r="1" spans="1:2" x14ac:dyDescent="0.35">
      <c r="A1" s="1" t="s">
        <v>114</v>
      </c>
      <c r="B1" t="s">
        <v>125</v>
      </c>
    </row>
    <row r="2" spans="1:2" x14ac:dyDescent="0.35">
      <c r="A2" s="2" t="s">
        <v>118</v>
      </c>
      <c r="B2" s="9">
        <v>2452474</v>
      </c>
    </row>
    <row r="3" spans="1:2" x14ac:dyDescent="0.35">
      <c r="A3" s="2" t="s">
        <v>119</v>
      </c>
      <c r="B3" s="9">
        <v>677283</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 Board</vt:lpstr>
      <vt:lpstr>Data Set</vt:lpstr>
      <vt:lpstr>Products by Supplier Risk</vt:lpstr>
      <vt:lpstr>Products Needing Reorder by Cat</vt:lpstr>
      <vt:lpstr>Average Reorder Point by Cat</vt:lpstr>
      <vt:lpstr>Top 10 Products to Reorder</vt:lpstr>
      <vt:lpstr>Inventory Value at Risk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muhmmadsubhankhan247@gmail.com</dc:creator>
  <cp:lastModifiedBy>muhmmadsubhankhan247@gmail.com</cp:lastModifiedBy>
  <dcterms:created xsi:type="dcterms:W3CDTF">2026-05-29T16:05:13Z</dcterms:created>
  <dcterms:modified xsi:type="dcterms:W3CDTF">2026-06-03T12:37:51Z</dcterms:modified>
</cp:coreProperties>
</file>