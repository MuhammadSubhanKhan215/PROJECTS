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erson\Documents\Projects\"/>
    </mc:Choice>
  </mc:AlternateContent>
  <xr:revisionPtr revIDLastSave="0" documentId="13_ncr:1_{0C4F1239-16DC-4332-9ED8-7C245B17A4F0}" xr6:coauthVersionLast="47" xr6:coauthVersionMax="47" xr10:uidLastSave="{00000000-0000-0000-0000-000000000000}"/>
  <bookViews>
    <workbookView xWindow="-110" yWindow="-110" windowWidth="19420" windowHeight="10300" xr2:uid="{7C3473B3-D1DB-4AC4-AEB8-707B4060BF7B}"/>
  </bookViews>
  <sheets>
    <sheet name="DASHBOARD" sheetId="7" r:id="rId1"/>
    <sheet name="Dataset" sheetId="1" r:id="rId2"/>
    <sheet name="Bounce Rate by Source" sheetId="2" r:id="rId3"/>
    <sheet name="Traffic Volume by Hour of Day" sheetId="3" r:id="rId4"/>
    <sheet name="Bounce Rate by Day of Week" sheetId="4" r:id="rId5"/>
    <sheet name="Traffic by Source Over Month" sheetId="5" r:id="rId6"/>
    <sheet name="Bounce Rate by Page Viewed" sheetId="6" r:id="rId7"/>
  </sheets>
  <definedNames>
    <definedName name="Slicer_DayofWeek">#N/A</definedName>
    <definedName name="Slicer_Month">#N/A</definedName>
    <definedName name="Slicer_Sourc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0" i="7" l="1" a="1"/>
  <c r="U20" i="7" s="1"/>
  <c r="U19" i="7"/>
  <c r="U18" i="7"/>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<sst xmlns="http://schemas.openxmlformats.org/spreadsheetml/2006/main" count="958" uniqueCount="39">
  <si>
    <t>VisitID</t>
  </si>
  <si>
    <t>Timestamp</t>
  </si>
  <si>
    <t>PageViewed</t>
  </si>
  <si>
    <t>Source</t>
  </si>
  <si>
    <t>Bounce</t>
  </si>
  <si>
    <t>/pricing</t>
  </si>
  <si>
    <t>Direct</t>
  </si>
  <si>
    <t>Yes</t>
  </si>
  <si>
    <t>/blog/post1</t>
  </si>
  <si>
    <t>Facebook</t>
  </si>
  <si>
    <t>/home</t>
  </si>
  <si>
    <t>Google</t>
  </si>
  <si>
    <t>No</t>
  </si>
  <si>
    <t>Twitter</t>
  </si>
  <si>
    <t>/products</t>
  </si>
  <si>
    <t>/contact</t>
  </si>
  <si>
    <t>Date</t>
  </si>
  <si>
    <t>Hour</t>
  </si>
  <si>
    <t>DayofWeek</t>
  </si>
  <si>
    <t>Month</t>
  </si>
  <si>
    <t>Row Labels</t>
  </si>
  <si>
    <t>Grand Total</t>
  </si>
  <si>
    <t>Column Labels</t>
  </si>
  <si>
    <t>Count of VisitID</t>
  </si>
  <si>
    <t>Sunday</t>
  </si>
  <si>
    <t>Monday</t>
  </si>
  <si>
    <t>Tuesday</t>
  </si>
  <si>
    <t>Wednesday</t>
  </si>
  <si>
    <t>Thursday</t>
  </si>
  <si>
    <t>Friday</t>
  </si>
  <si>
    <t>May</t>
  </si>
  <si>
    <t xml:space="preserve">📊 Website Traffic Analysis Dashboard  </t>
  </si>
  <si>
    <t>Date Range: Jan-Dec 2025</t>
  </si>
  <si>
    <t>Total Visits: 300</t>
  </si>
  <si>
    <t>KPI</t>
  </si>
  <si>
    <t xml:space="preserve">	Formula</t>
  </si>
  <si>
    <t>Total Visits</t>
  </si>
  <si>
    <t>Overall Bounce Rate</t>
  </si>
  <si>
    <t>Top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</si>
</sst>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d/yy\ h:mm\ AM/PM;@"/>
    <numFmt numFmtId="165" formatCode="m/d/yy;@"/>
  </numFmts>
  <fonts count="5" x14ac:knownFonts="1">
    <font>
      <sz val="11"/>
      <color theme="1"/>
      <name val="Calibri"/>
      <family val="2"/>
      <scheme val="minor"/>
    </font>
    <font>
      <sz val="20"/>
      <color theme="2"/>
      <name val="Calibri"/>
      <family val="2"/>
      <scheme val="minor"/>
    </font>
    <font>
      <sz val="16"/>
      <color theme="2"/>
      <name val="Calibri"/>
      <family val="2"/>
      <scheme val="minor"/>
    </font>
    <font>
      <sz val="11"/>
      <color theme="2"/>
      <name val="Calibri"/>
      <family val="2"/>
      <scheme val="minor"/>
    </font>
    <font>
      <sz val="12"/>
      <color theme="2"/>
      <name val="Calibri"/>
      <family val="2"/>
      <scheme val="minor"/>
    </font>
  </fonts>
  <fills count="6">
    <fill>
      <patternFill patternType="none"/>
    </fill>
    <fill>
      <patternFill patternType="gray125"/>
    </fill>
    <fill>
      <patternFill patternType="solid">
        <fgColor theme="1" tint="4.9989318521683403E-2"/>
        <bgColor indexed="64"/>
      </patternFill>
    </fill>
    <fill>
      <patternFill patternType="solid">
        <fgColor theme="1" tint="0.14999847407452621"/>
        <bgColor indexed="64"/>
      </patternFill>
    </fill>
    <fill>
      <patternFill patternType="solid">
        <fgColor theme="1" tint="0.249977111117893"/>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3" fillId="4" borderId="0" xfId="0" applyFont="1" applyFill="1" applyAlignment="1">
      <alignment horizontal="center"/>
    </xf>
    <xf numFmtId="0" fontId="3" fillId="5" borderId="0" xfId="0" applyFont="1" applyFill="1" applyAlignment="1">
      <alignment horizontal="center"/>
    </xf>
    <xf numFmtId="10" fontId="3" fillId="5" borderId="0" xfId="0" applyNumberFormat="1" applyFont="1" applyFill="1" applyAlignment="1">
      <alignment horizontal="center"/>
    </xf>
    <xf numFmtId="0" fontId="1" fillId="2" borderId="0" xfId="0" applyFont="1" applyFill="1" applyAlignment="1">
      <alignment horizontal="center"/>
    </xf>
    <xf numFmtId="0" fontId="2" fillId="3" borderId="0" xfId="0" applyFont="1" applyFill="1" applyAlignment="1">
      <alignment horizontal="center"/>
    </xf>
    <xf numFmtId="0" fontId="4" fillId="3" borderId="0" xfId="0" applyFont="1" applyFill="1" applyAlignment="1">
      <alignment horizontal="center"/>
    </xf>
    <xf numFmtId="0" fontId="0" fillId="0" borderId="0" xfId="0" applyNumberFormat="1"/>
  </cellXfs>
  <cellStyles count="1">
    <cellStyle name="Normal" xfId="0" builtinId="0"/>
  </cellStyles>
  <dxfs count="2">
    <dxf>
      <numFmt numFmtId="165" formatCode="m/d/yy;@"/>
    </dxf>
    <dxf>
      <numFmt numFmtId="164" formatCode="[$-409]m/d/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[Website_Traffic_Dashboard.xlsx]Traffic Volume by Hour of Day!PivotTable4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Traffic Volume by Hour of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'Traffic Volume by Hour of Day'!$B$1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'Traffic Volume by Hour of Day'!$A$2:$A$15</c:f>
              <c:strCache>
                <c:ptCount val="14"/>
                <c:pt idx="0">
                  <c:v>0</c:v>
                </c:pt>
                <c:pt idx="1">
                  <c:v>1</c:v>
                </c:pt>
                <c:pt idx="2">
                  <c:v>2</c:v>
                </c:pt>
                <c:pt idx="3">
                  <c:v>4</c:v>
                </c:pt>
                <c:pt idx="4">
                  <c:v>5</c:v>
                </c:pt>
                <c:pt idx="5">
                  <c:v>6</c:v>
                </c:pt>
                <c:pt idx="6">
                  <c:v>7</c:v>
                </c:pt>
                <c:pt idx="7">
                  <c:v>8</c:v>
                </c:pt>
                <c:pt idx="8">
                  <c:v>9</c:v>
                </c:pt>
                <c:pt idx="9">
                  <c:v>11</c:v>
                </c:pt>
                <c:pt idx="10">
                  <c:v>14</c:v>
                </c:pt>
                <c:pt idx="11">
                  <c:v>15</c:v>
                </c:pt>
                <c:pt idx="12">
                  <c:v>22</c:v>
                </c:pt>
                <c:pt idx="13">
                  <c:v>23</c:v>
                </c:pt>
              </c:strCache>
            </c:strRef>
          </c:cat>
          <c:val>
            <c:numRef>
              <c:f>'Traffic Volume by Hour of Day'!$B$2:$B$15</c:f>
              <c:numCache>
                <c:formatCode>General</c:formatCode>
                <c:ptCount val="14"/>
                <c:pt idx="0">
                  <c:v>1</c:v>
                </c:pt>
                <c:pt idx="1">
                  <c:v>1</c:v>
                </c:pt>
                <c:pt idx="2">
                  <c:v>1</c:v>
                </c:pt>
                <c:pt idx="3">
                  <c:v>3</c:v>
                </c:pt>
                <c:pt idx="4">
                  <c:v>1</c:v>
                </c:pt>
                <c:pt idx="5">
                  <c:v>1</c:v>
                </c:pt>
                <c:pt idx="6">
                  <c:v>2</c:v>
                </c:pt>
                <c:pt idx="7">
                  <c:v>1</c:v>
                </c:pt>
                <c:pt idx="8">
                  <c:v>1</c:v>
                </c:pt>
                <c:pt idx="9">
                  <c:v>1</c:v>
                </c:pt>
                <c:pt idx="10">
                  <c:v>1</c:v>
                </c:pt>
                <c:pt idx="11">
                  <c:v>1</c:v>
                </c:pt>
                <c:pt idx="12">
                  <c:v>3</c:v>
                </c:pt>
                <c:pt idx="13">
                  <c:v>2</c:v>
                </c:pt>
              </c:numCache>
            </c:numRef>
          </c:val>
          <c:smooth val="0"/>
          <c:extLst>
            <c:ext xmlns:c16="http://schemas.microsoft.com/office/drawing/2014/chart" uri="{C3380CC4-5D6E-409C-BE32-E72D297353CC}">
              <c16:uniqueId val="{00000000-7537-49B5-ACB9-B3EB49339C16}"/>
            </c:ext>
          </c:extLst>
        </c:ser>
        <c:dLbls>
          <c:showLegendKey val="0"/>
          <c:showVal val="0"/>
          <c:showCatName val="0"/>
          <c:showSerName val="0"/>
          <c:showPercent val="0"/>
          <c:showBubbleSize val="0"/>
        </c:dLbls>
        <c:marker val="1"/>
        <c:smooth val="0"/>
        <c:axId val="1478179680"/>
        <c:axId val="1478184480"/>
      </c:lineChart>
      <c:catAx>
        <c:axId val="14781796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84480"/>
        <c:crosses val="autoZero"/>
        <c:auto val="1"/>
        <c:lblAlgn val="ctr"/>
        <c:lblOffset val="100"/>
        <c:noMultiLvlLbl val="0"/>
      </c:catAx>
      <c:valAx>
        <c:axId val="1478184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7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[Website_Traffic_Dashboard.xlsx]Traffic by Source Over Month!PivotTable6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Traffic by Source Over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'Traffic by Source Over Month'!$B$1:$B$2</c:f>
              <c:strCache>
                <c:ptCount val="1"/>
                <c:pt idx="0">
                  <c:v>Direct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'Traffic by Source Over Month'!$A$3</c:f>
              <c:strCache>
                <c:ptCount val="1"/>
                <c:pt idx="0">
                  <c:v>May</c:v>
                </c:pt>
              </c:strCache>
            </c:strRef>
          </c:cat>
          <c:val>
            <c:numRef>
              <c:f>'Traffic by Source Over Month'!$B$3</c:f>
              <c:numCache>
                <c:formatCode>General</c:formatCode>
                <c:ptCount val="1"/>
                <c:pt idx="0">
                  <c:v>6</c:v>
                </c:pt>
              </c:numCache>
            </c:numRef>
          </c:val>
          <c:extLst>
            <c:ext xmlns:c16="http://schemas.microsoft.com/office/drawing/2014/chart" uri="{C3380CC4-5D6E-409C-BE32-E72D297353CC}">
              <c16:uniqueId val="{00000000-ABCB-4262-BBB4-D7DB21F99F9B}"/>
            </c:ext>
          </c:extLst>
        </c:ser>
        <c:ser>
          <c:idx val="1"/>
          <c:order val="1"/>
          <c:tx>
            <c:strRef>
              <c:f>'Traffic by Source Over Month'!$C$1:$C$2</c:f>
              <c:strCache>
                <c:ptCount val="1"/>
                <c:pt idx="0">
                  <c:v>Facebook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'Traffic by Source Over Month'!$A$3</c:f>
              <c:strCache>
                <c:ptCount val="1"/>
                <c:pt idx="0">
                  <c:v>May</c:v>
                </c:pt>
              </c:strCache>
            </c:strRef>
          </c:cat>
          <c:val>
            <c:numRef>
              <c:f>'Traffic by Source Over Month'!$C$3</c:f>
              <c:numCache>
                <c:formatCode>General</c:formatCode>
                <c:ptCount val="1"/>
                <c:pt idx="0">
                  <c:v>7</c:v>
                </c:pt>
              </c:numCache>
            </c:numRef>
          </c:val>
          <c:extLst>
            <c:ext xmlns:c16="http://schemas.microsoft.com/office/drawing/2014/chart" uri="{C3380CC4-5D6E-409C-BE32-E72D297353CC}">
              <c16:uniqueId val="{00000001-236B-4127-AC06-DCB157956E50}"/>
            </c:ext>
          </c:extLst>
        </c:ser>
        <c:ser>
          <c:idx val="2"/>
          <c:order val="2"/>
          <c:tx>
            <c:strRef>
              <c:f>'Traffic by Source Over Month'!$D$1:$D$2</c:f>
              <c:strCache>
                <c:ptCount val="1"/>
                <c:pt idx="0">
                  <c:v>Google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'Traffic by Source Over Month'!$A$3</c:f>
              <c:strCache>
                <c:ptCount val="1"/>
                <c:pt idx="0">
                  <c:v>May</c:v>
                </c:pt>
              </c:strCache>
            </c:strRef>
          </c:cat>
          <c:val>
            <c:numRef>
              <c:f>'Traffic by Source Over Month'!$D$3</c:f>
              <c:numCache>
                <c:formatCode>General</c:formatCode>
                <c:ptCount val="1"/>
                <c:pt idx="0">
                  <c:v>3</c:v>
                </c:pt>
              </c:numCache>
            </c:numRef>
          </c:val>
          <c:extLst>
            <c:ext xmlns:c16="http://schemas.microsoft.com/office/drawing/2014/chart" uri="{C3380CC4-5D6E-409C-BE32-E72D297353CC}">
              <c16:uniqueId val="{00000002-236B-4127-AC06-DCB157956E50}"/>
            </c:ext>
          </c:extLst>
        </c:ser>
        <c:ser>
          <c:idx val="3"/>
          <c:order val="3"/>
          <c:tx>
            <c:strRef>
              <c:f>'Traffic by Source Over Month'!$E$1:$E$2</c:f>
              <c:strCache>
                <c:ptCount val="1"/>
                <c:pt idx="0">
                  <c:v>Twitter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'Traffic by Source Over Month'!$A$3</c:f>
              <c:strCache>
                <c:ptCount val="1"/>
                <c:pt idx="0">
                  <c:v>May</c:v>
                </c:pt>
              </c:strCache>
            </c:strRef>
          </c:cat>
          <c:val>
            <c:numRef>
              <c:f>'Traffic by Source Over Month'!$E$3</c:f>
              <c:numCache>
                <c:formatCode>General</c:formatCode>
                <c:ptCount val="1"/>
                <c:pt idx="0">
                  <c:v>4</c:v>
                </c:pt>
              </c:numCache>
            </c:numRef>
          </c:val>
          <c:extLst>
            <c:ext xmlns:c16="http://schemas.microsoft.com/office/drawing/2014/chart" uri="{C3380CC4-5D6E-409C-BE32-E72D297353CC}">
              <c16:uniqueId val="{00000003-236B-4127-AC06-DCB157956E50}"/>
            </c:ext>
          </c:extLst>
        </c:ser>
        <c:dLbls>
          <c:showLegendKey val="0"/>
          <c:showVal val="0"/>
          <c:showCatName val="0"/>
          <c:showSerName val="0"/>
          <c:showPercent val="0"/>
          <c:showBubbleSize val="0"/>
        </c:dLbls>
        <c:gapWidth val="100"/>
        <c:overlap val="-24"/>
        <c:axId val="1478146560"/>
        <c:axId val="1478151840"/>
      </c:barChart>
      <c:catAx>
        <c:axId val="1478146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51840"/>
        <c:crosses val="autoZero"/>
        <c:auto val="1"/>
        <c:lblAlgn val="ctr"/>
        <c:lblOffset val="100"/>
        <c:noMultiLvlLbl val="0"/>
      </c:catAx>
      <c:valAx>
        <c:axId val="1478151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4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[Website_Traffic_Dashboard.xlsx]Bounce Rate by Source!PivotTable3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Bounce Rate by Source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'Bounce Rate by Source'!$B$1:$B$2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Source'!$A$3:$A$6</c:f>
              <c:strCache>
                <c:ptCount val="4"/>
                <c:pt idx="0">
                  <c:v>Direct</c:v>
                </c:pt>
                <c:pt idx="1">
                  <c:v>Facebook</c:v>
                </c:pt>
                <c:pt idx="2">
                  <c:v>Google</c:v>
                </c:pt>
                <c:pt idx="3">
                  <c:v>Twitter</c:v>
                </c:pt>
              </c:strCache>
            </c:strRef>
          </c:cat>
          <c:val>
            <c:numRef>
              <c:f>'Bounce Rate by Source'!$B$3:$B$6</c:f>
              <c:numCache>
                <c:formatCode>0.00%</c:formatCode>
                <c:ptCount val="4"/>
                <c:pt idx="0">
                  <c:v>0.5</c:v>
                </c:pt>
                <c:pt idx="1">
                  <c:v>1</c:v>
                </c:pt>
                <c:pt idx="2">
                  <c:v>1</c:v>
                </c:pt>
                <c:pt idx="3">
                  <c:v>0.5</c:v>
                </c:pt>
              </c:numCache>
            </c:numRef>
          </c:val>
          <c:extLst>
            <c:ext xmlns:c16="http://schemas.microsoft.com/office/drawing/2014/chart" uri="{C3380CC4-5D6E-409C-BE32-E72D297353CC}">
              <c16:uniqueId val="{00000000-DCDB-4EF9-93FC-EEC094DEC6D5}"/>
            </c:ext>
          </c:extLst>
        </c:ser>
        <c:ser>
          <c:idx val="1"/>
          <c:order val="1"/>
          <c:tx>
            <c:strRef>
              <c:f>'Bounce Rate by Source'!$C$1:$C$2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Source'!$A$3:$A$6</c:f>
              <c:strCache>
                <c:ptCount val="4"/>
                <c:pt idx="0">
                  <c:v>Direct</c:v>
                </c:pt>
                <c:pt idx="1">
                  <c:v>Facebook</c:v>
                </c:pt>
                <c:pt idx="2">
                  <c:v>Google</c:v>
                </c:pt>
                <c:pt idx="3">
                  <c:v>Twitter</c:v>
                </c:pt>
              </c:strCache>
            </c:strRef>
          </c:cat>
          <c:val>
            <c:numRef>
              <c:f>'Bounce Rate by Source'!$C$3:$C$6</c:f>
              <c:numCache>
                <c:formatCode>0.00%</c:formatCode>
                <c:ptCount val="4"/>
                <c:pt idx="0">
                  <c:v>0.5</c:v>
                </c:pt>
                <c:pt idx="1">
                  <c:v>0</c:v>
                </c:pt>
                <c:pt idx="2">
                  <c:v>0</c:v>
                </c:pt>
                <c:pt idx="3">
                  <c:v>0.5</c:v>
                </c:pt>
              </c:numCache>
            </c:numRef>
          </c:val>
          <c:extLst>
            <c:ext xmlns:c16="http://schemas.microsoft.com/office/drawing/2014/chart" uri="{C3380CC4-5D6E-409C-BE32-E72D297353CC}">
              <c16:uniqueId val="{00000002-9A15-47AD-B9FA-AD7B2366D1FC}"/>
            </c:ext>
          </c:extLst>
        </c:ser>
        <c:dLbls>
          <c:showLegendKey val="0"/>
          <c:showVal val="0"/>
          <c:showCatName val="0"/>
          <c:showSerName val="0"/>
          <c:showPercent val="0"/>
          <c:showBubbleSize val="0"/>
        </c:dLbls>
        <c:gapWidth val="115"/>
        <c:overlap val="-20"/>
        <c:axId val="1478172960"/>
        <c:axId val="1478157120"/>
      </c:barChart>
      <c:catAx>
        <c:axId val="14781729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57120"/>
        <c:crosses val="autoZero"/>
        <c:auto val="1"/>
        <c:lblAlgn val="ctr"/>
        <c:lblOffset val="100"/>
        <c:noMultiLvlLbl val="0"/>
      </c:catAx>
      <c:valAx>
        <c:axId val="147815712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7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[Website_Traffic_Dashboard.xlsx]Bounce Rate by Page Viewed!PivotTable7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Bounce Rate by Page Viewed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'Bounce Rate by Page Viewed'!$B$1:$B$2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Page Viewed'!$A$3:$A$7</c:f>
              <c:strCache>
                <c:ptCount val="5"/>
                <c:pt idx="0">
                  <c:v>/blog/post1</c:v>
                </c:pt>
                <c:pt idx="1">
                  <c:v>/contact</c:v>
                </c:pt>
                <c:pt idx="2">
                  <c:v>/home</c:v>
                </c:pt>
                <c:pt idx="3">
                  <c:v>/pricing</c:v>
                </c:pt>
                <c:pt idx="4">
                  <c:v>/products</c:v>
                </c:pt>
              </c:strCache>
            </c:strRef>
          </c:cat>
          <c:val>
            <c:numRef>
              <c:f>'Bounce Rate by Page Viewed'!$B$3:$B$7</c:f>
              <c:numCache>
                <c:formatCode>General</c:formatCode>
                <c:ptCount val="5"/>
                <c:pt idx="0">
                  <c:v>4</c:v>
                </c:pt>
                <c:pt idx="1">
                  <c:v>2</c:v>
                </c:pt>
                <c:pt idx="2">
                  <c:v>3</c:v>
                </c:pt>
                <c:pt idx="3">
                  <c:v>2</c:v>
                </c:pt>
                <c:pt idx="4">
                  <c:v>4</c:v>
                </c:pt>
              </c:numCache>
            </c:numRef>
          </c:val>
          <c:extLst>
            <c:ext xmlns:c16="http://schemas.microsoft.com/office/drawing/2014/chart" uri="{C3380CC4-5D6E-409C-BE32-E72D297353CC}">
              <c16:uniqueId val="{00000000-C28B-4090-8800-DE1792915503}"/>
            </c:ext>
          </c:extLst>
        </c:ser>
        <c:ser>
          <c:idx val="1"/>
          <c:order val="1"/>
          <c:tx>
            <c:strRef>
              <c:f>'Bounce Rate by Page Viewed'!$C$1:$C$2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Page Viewed'!$A$3:$A$7</c:f>
              <c:strCache>
                <c:ptCount val="5"/>
                <c:pt idx="0">
                  <c:v>/blog/post1</c:v>
                </c:pt>
                <c:pt idx="1">
                  <c:v>/contact</c:v>
                </c:pt>
                <c:pt idx="2">
                  <c:v>/home</c:v>
                </c:pt>
                <c:pt idx="3">
                  <c:v>/pricing</c:v>
                </c:pt>
                <c:pt idx="4">
                  <c:v>/products</c:v>
                </c:pt>
              </c:strCache>
            </c:strRef>
          </c:cat>
          <c:val>
            <c:numRef>
              <c:f>'Bounce Rate by Page Viewed'!$C$3:$C$7</c:f>
              <c:numCache>
                <c:formatCode>General</c:formatCode>
                <c:ptCount val="5"/>
                <c:pt idx="1">
                  <c:v>1</c:v>
                </c:pt>
                <c:pt idx="2">
                  <c:v>1</c:v>
                </c:pt>
                <c:pt idx="3">
                  <c:v>1</c:v>
                </c:pt>
                <c:pt idx="4">
                  <c:v>2</c:v>
                </c:pt>
              </c:numCache>
            </c:numRef>
          </c:val>
          <c:extLst>
            <c:ext xmlns:c16="http://schemas.microsoft.com/office/drawing/2014/chart" uri="{C3380CC4-5D6E-409C-BE32-E72D297353CC}">
              <c16:uniqueId val="{00000002-C0E9-47CA-B8F6-B4EB2CCBC80F}"/>
            </c:ext>
          </c:extLst>
        </c:ser>
        <c:dLbls>
          <c:showLegendKey val="0"/>
          <c:showVal val="0"/>
          <c:showCatName val="0"/>
          <c:showSerName val="0"/>
          <c:showPercent val="0"/>
          <c:showBubbleSize val="0"/>
        </c:dLbls>
        <c:gapWidth val="115"/>
        <c:overlap val="-20"/>
        <c:axId val="1478150880"/>
        <c:axId val="1478155200"/>
      </c:barChart>
      <c:catAx>
        <c:axId val="1478150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55200"/>
        <c:crosses val="autoZero"/>
        <c:auto val="1"/>
        <c:lblAlgn val="ctr"/>
        <c:lblOffset val="100"/>
        <c:noMultiLvlLbl val="0"/>
      </c:catAx>
      <c:valAx>
        <c:axId val="14781552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5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[Website_Traffic_Dashboard.xlsx]Bounce Rate by Day of Week!PivotTable5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Bounce Rate by Day of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'Bounce Rate by Day of Week'!$B$1:$B$2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Day of Week'!$A$3:$A$8</c:f>
              <c:strCache>
                <c:ptCount val="6"/>
                <c:pt idx="0">
                  <c:v>Sunday</c:v>
                </c:pt>
                <c:pt idx="1">
                  <c:v>Monday</c:v>
                </c:pt>
                <c:pt idx="2">
                  <c:v>Tuesday</c:v>
                </c:pt>
                <c:pt idx="3">
                  <c:v>Wednesday</c:v>
                </c:pt>
                <c:pt idx="4">
                  <c:v>Thursday</c:v>
                </c:pt>
                <c:pt idx="5">
                  <c:v>Friday</c:v>
                </c:pt>
              </c:strCache>
            </c:strRef>
          </c:cat>
          <c:val>
            <c:numRef>
              <c:f>'Bounce Rate by Day of Week'!$B$3:$B$8</c:f>
              <c:numCache>
                <c:formatCode>General</c:formatCode>
                <c:ptCount val="6"/>
                <c:pt idx="0">
                  <c:v>3</c:v>
                </c:pt>
                <c:pt idx="1">
                  <c:v>2</c:v>
                </c:pt>
                <c:pt idx="2">
                  <c:v>3</c:v>
                </c:pt>
                <c:pt idx="3">
                  <c:v>3</c:v>
                </c:pt>
                <c:pt idx="4">
                  <c:v>1</c:v>
                </c:pt>
                <c:pt idx="5">
                  <c:v>3</c:v>
                </c:pt>
              </c:numCache>
            </c:numRef>
          </c:val>
          <c:extLst>
            <c:ext xmlns:c16="http://schemas.microsoft.com/office/drawing/2014/chart" uri="{C3380CC4-5D6E-409C-BE32-E72D297353CC}">
              <c16:uniqueId val="{00000000-1A65-42EA-87CF-94F10F4E7A08}"/>
            </c:ext>
          </c:extLst>
        </c:ser>
        <c:ser>
          <c:idx val="1"/>
          <c:order val="1"/>
          <c:tx>
            <c:strRef>
              <c:f>'Bounce Rate by Day of Week'!$C$1:$C$2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Day of Week'!$A$3:$A$8</c:f>
              <c:strCache>
                <c:ptCount val="6"/>
                <c:pt idx="0">
                  <c:v>Sunday</c:v>
                </c:pt>
                <c:pt idx="1">
                  <c:v>Monday</c:v>
                </c:pt>
                <c:pt idx="2">
                  <c:v>Tuesday</c:v>
                </c:pt>
                <c:pt idx="3">
                  <c:v>Wednesday</c:v>
                </c:pt>
                <c:pt idx="4">
                  <c:v>Thursday</c:v>
                </c:pt>
                <c:pt idx="5">
                  <c:v>Friday</c:v>
                </c:pt>
              </c:strCache>
            </c:strRef>
          </c:cat>
          <c:val>
            <c:numRef>
              <c:f>'Bounce Rate by Day of Week'!$C$3:$C$8</c:f>
              <c:numCache>
                <c:formatCode>General</c:formatCode>
                <c:ptCount val="6"/>
                <c:pt idx="0">
                  <c:v>1</c:v>
                </c:pt>
                <c:pt idx="1">
                  <c:v>2</c:v>
                </c:pt>
                <c:pt idx="3">
                  <c:v>1</c:v>
                </c:pt>
                <c:pt idx="4">
                  <c:v>1</c:v>
                </c:pt>
              </c:numCache>
            </c:numRef>
          </c:val>
          <c:extLst>
            <c:ext xmlns:c16="http://schemas.microsoft.com/office/drawing/2014/chart" uri="{C3380CC4-5D6E-409C-BE32-E72D297353CC}">
              <c16:uniqueId val="{00000002-0BBE-43E1-9B86-FBEE38973BB0}"/>
            </c:ext>
          </c:extLst>
        </c:ser>
        <c:dLbls>
          <c:showLegendKey val="0"/>
          <c:showVal val="0"/>
          <c:showCatName val="0"/>
          <c:showSerName val="0"/>
          <c:showPercent val="0"/>
          <c:showBubbleSize val="0"/>
        </c:dLbls>
        <c:gapWidth val="100"/>
        <c:overlap val="-24"/>
        <c:axId val="1478190240"/>
        <c:axId val="1478188800"/>
      </c:barChart>
      <c:catAx>
        <c:axId val="1478190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88800"/>
        <c:crosses val="autoZero"/>
        <c:auto val="1"/>
        <c:lblAlgn val="ctr"/>
        <c:lblOffset val="100"/>
        <c:noMultiLvlLbl val="0"/>
      </c:catAx>
      <c:valAx>
        <c:axId val="1478188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9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[Website_Traffic_Dashboard.xlsx]Bounce Rate by Source!PivotTable3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Bounce Rate by Source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'Bounce Rate by Source'!$B$1:$B$2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Source'!$A$3:$A$6</c:f>
              <c:strCache>
                <c:ptCount val="4"/>
                <c:pt idx="0">
                  <c:v>Direct</c:v>
                </c:pt>
                <c:pt idx="1">
                  <c:v>Facebook</c:v>
                </c:pt>
                <c:pt idx="2">
                  <c:v>Google</c:v>
                </c:pt>
                <c:pt idx="3">
                  <c:v>Twitter</c:v>
                </c:pt>
              </c:strCache>
            </c:strRef>
          </c:cat>
          <c:val>
            <c:numRef>
              <c:f>'Bounce Rate by Source'!$B$3:$B$6</c:f>
              <c:numCache>
                <c:formatCode>0.00%</c:formatCode>
                <c:ptCount val="4"/>
                <c:pt idx="0">
                  <c:v>0.5</c:v>
                </c:pt>
                <c:pt idx="1">
                  <c:v>1</c:v>
                </c:pt>
                <c:pt idx="2">
                  <c:v>1</c:v>
                </c:pt>
                <c:pt idx="3">
                  <c:v>0.5</c:v>
                </c:pt>
              </c:numCache>
            </c:numRef>
          </c:val>
          <c:extLst>
            <c:ext xmlns:c16="http://schemas.microsoft.com/office/drawing/2014/chart" uri="{C3380CC4-5D6E-409C-BE32-E72D297353CC}">
              <c16:uniqueId val="{00000000-E306-4812-9F3E-A13A2AE4C19A}"/>
            </c:ext>
          </c:extLst>
        </c:ser>
        <c:ser>
          <c:idx val="1"/>
          <c:order val="1"/>
          <c:tx>
            <c:strRef>
              <c:f>'Bounce Rate by Source'!$C$1:$C$2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Source'!$A$3:$A$6</c:f>
              <c:strCache>
                <c:ptCount val="4"/>
                <c:pt idx="0">
                  <c:v>Direct</c:v>
                </c:pt>
                <c:pt idx="1">
                  <c:v>Facebook</c:v>
                </c:pt>
                <c:pt idx="2">
                  <c:v>Google</c:v>
                </c:pt>
                <c:pt idx="3">
                  <c:v>Twitter</c:v>
                </c:pt>
              </c:strCache>
            </c:strRef>
          </c:cat>
          <c:val>
            <c:numRef>
              <c:f>'Bounce Rate by Source'!$C$3:$C$6</c:f>
              <c:numCache>
                <c:formatCode>0.00%</c:formatCode>
                <c:ptCount val="4"/>
                <c:pt idx="0">
                  <c:v>0.5</c:v>
                </c:pt>
                <c:pt idx="1">
                  <c:v>0</c:v>
                </c:pt>
                <c:pt idx="2">
                  <c:v>0</c:v>
                </c:pt>
                <c:pt idx="3">
                  <c:v>0.5</c:v>
                </c:pt>
              </c:numCache>
            </c:numRef>
          </c:val>
          <c:extLst>
            <c:ext xmlns:c16="http://schemas.microsoft.com/office/drawing/2014/chart" uri="{C3380CC4-5D6E-409C-BE32-E72D297353CC}">
              <c16:uniqueId val="{00000001-B5FA-4996-AFEE-215E1FBD451D}"/>
            </c:ext>
          </c:extLst>
        </c:ser>
        <c:dLbls>
          <c:showLegendKey val="0"/>
          <c:showVal val="0"/>
          <c:showCatName val="0"/>
          <c:showSerName val="0"/>
          <c:showPercent val="0"/>
          <c:showBubbleSize val="0"/>
        </c:dLbls>
        <c:gapWidth val="115"/>
        <c:overlap val="-20"/>
        <c:axId val="1478172960"/>
        <c:axId val="1478157120"/>
      </c:barChart>
      <c:catAx>
        <c:axId val="14781729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57120"/>
        <c:crosses val="autoZero"/>
        <c:auto val="1"/>
        <c:lblAlgn val="ctr"/>
        <c:lblOffset val="100"/>
        <c:noMultiLvlLbl val="0"/>
      </c:catAx>
      <c:valAx>
        <c:axId val="147815712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7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[Website_Traffic_Dashboard.xlsx]Traffic Volume by Hour of Day!PivotTable4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Traffic Volume by Hour of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'Traffic Volume by Hour of Day'!$B$1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'Traffic Volume by Hour of Day'!$A$2:$A$15</c:f>
              <c:strCache>
                <c:ptCount val="14"/>
                <c:pt idx="0">
                  <c:v>0</c:v>
                </c:pt>
                <c:pt idx="1">
                  <c:v>1</c:v>
                </c:pt>
                <c:pt idx="2">
                  <c:v>2</c:v>
                </c:pt>
                <c:pt idx="3">
                  <c:v>4</c:v>
                </c:pt>
                <c:pt idx="4">
                  <c:v>5</c:v>
                </c:pt>
                <c:pt idx="5">
                  <c:v>6</c:v>
                </c:pt>
                <c:pt idx="6">
                  <c:v>7</c:v>
                </c:pt>
                <c:pt idx="7">
                  <c:v>8</c:v>
                </c:pt>
                <c:pt idx="8">
                  <c:v>9</c:v>
                </c:pt>
                <c:pt idx="9">
                  <c:v>11</c:v>
                </c:pt>
                <c:pt idx="10">
                  <c:v>14</c:v>
                </c:pt>
                <c:pt idx="11">
                  <c:v>15</c:v>
                </c:pt>
                <c:pt idx="12">
                  <c:v>22</c:v>
                </c:pt>
                <c:pt idx="13">
                  <c:v>23</c:v>
                </c:pt>
              </c:strCache>
            </c:strRef>
          </c:cat>
          <c:val>
            <c:numRef>
              <c:f>'Traffic Volume by Hour of Day'!$B$2:$B$15</c:f>
              <c:numCache>
                <c:formatCode>General</c:formatCode>
                <c:ptCount val="14"/>
                <c:pt idx="0">
                  <c:v>1</c:v>
                </c:pt>
                <c:pt idx="1">
                  <c:v>1</c:v>
                </c:pt>
                <c:pt idx="2">
                  <c:v>1</c:v>
                </c:pt>
                <c:pt idx="3">
                  <c:v>3</c:v>
                </c:pt>
                <c:pt idx="4">
                  <c:v>1</c:v>
                </c:pt>
                <c:pt idx="5">
                  <c:v>1</c:v>
                </c:pt>
                <c:pt idx="6">
                  <c:v>2</c:v>
                </c:pt>
                <c:pt idx="7">
                  <c:v>1</c:v>
                </c:pt>
                <c:pt idx="8">
                  <c:v>1</c:v>
                </c:pt>
                <c:pt idx="9">
                  <c:v>1</c:v>
                </c:pt>
                <c:pt idx="10">
                  <c:v>1</c:v>
                </c:pt>
                <c:pt idx="11">
                  <c:v>1</c:v>
                </c:pt>
                <c:pt idx="12">
                  <c:v>3</c:v>
                </c:pt>
                <c:pt idx="13">
                  <c:v>2</c:v>
                </c:pt>
              </c:numCache>
            </c:numRef>
          </c:val>
          <c:smooth val="0"/>
          <c:extLst>
            <c:ext xmlns:c16="http://schemas.microsoft.com/office/drawing/2014/chart" uri="{C3380CC4-5D6E-409C-BE32-E72D297353CC}">
              <c16:uniqueId val="{00000000-096E-4652-B8F1-B148ACC811F9}"/>
            </c:ext>
          </c:extLst>
        </c:ser>
        <c:dLbls>
          <c:showLegendKey val="0"/>
          <c:showVal val="0"/>
          <c:showCatName val="0"/>
          <c:showSerName val="0"/>
          <c:showPercent val="0"/>
          <c:showBubbleSize val="0"/>
        </c:dLbls>
        <c:marker val="1"/>
        <c:smooth val="0"/>
        <c:axId val="1478179680"/>
        <c:axId val="1478184480"/>
      </c:lineChart>
      <c:catAx>
        <c:axId val="14781796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84480"/>
        <c:crosses val="autoZero"/>
        <c:auto val="1"/>
        <c:lblAlgn val="ctr"/>
        <c:lblOffset val="100"/>
        <c:noMultiLvlLbl val="0"/>
      </c:catAx>
      <c:valAx>
        <c:axId val="1478184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7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[Website_Traffic_Dashboard.xlsx]Bounce Rate by Day of Week!PivotTable5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Bounce Rate by Day of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'Bounce Rate by Day of Week'!$B$1:$B$2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Day of Week'!$A$3:$A$8</c:f>
              <c:strCache>
                <c:ptCount val="6"/>
                <c:pt idx="0">
                  <c:v>Sunday</c:v>
                </c:pt>
                <c:pt idx="1">
                  <c:v>Monday</c:v>
                </c:pt>
                <c:pt idx="2">
                  <c:v>Tuesday</c:v>
                </c:pt>
                <c:pt idx="3">
                  <c:v>Wednesday</c:v>
                </c:pt>
                <c:pt idx="4">
                  <c:v>Thursday</c:v>
                </c:pt>
                <c:pt idx="5">
                  <c:v>Friday</c:v>
                </c:pt>
              </c:strCache>
            </c:strRef>
          </c:cat>
          <c:val>
            <c:numRef>
              <c:f>'Bounce Rate by Day of Week'!$B$3:$B$8</c:f>
              <c:numCache>
                <c:formatCode>General</c:formatCode>
                <c:ptCount val="6"/>
                <c:pt idx="0">
                  <c:v>3</c:v>
                </c:pt>
                <c:pt idx="1">
                  <c:v>2</c:v>
                </c:pt>
                <c:pt idx="2">
                  <c:v>3</c:v>
                </c:pt>
                <c:pt idx="3">
                  <c:v>3</c:v>
                </c:pt>
                <c:pt idx="4">
                  <c:v>1</c:v>
                </c:pt>
                <c:pt idx="5">
                  <c:v>3</c:v>
                </c:pt>
              </c:numCache>
            </c:numRef>
          </c:val>
          <c:extLst>
            <c:ext xmlns:c16="http://schemas.microsoft.com/office/drawing/2014/chart" uri="{C3380CC4-5D6E-409C-BE32-E72D297353CC}">
              <c16:uniqueId val="{00000000-CFA9-4844-8897-BCC8598970F7}"/>
            </c:ext>
          </c:extLst>
        </c:ser>
        <c:ser>
          <c:idx val="1"/>
          <c:order val="1"/>
          <c:tx>
            <c:strRef>
              <c:f>'Bounce Rate by Day of Week'!$C$1:$C$2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Day of Week'!$A$3:$A$8</c:f>
              <c:strCache>
                <c:ptCount val="6"/>
                <c:pt idx="0">
                  <c:v>Sunday</c:v>
                </c:pt>
                <c:pt idx="1">
                  <c:v>Monday</c:v>
                </c:pt>
                <c:pt idx="2">
                  <c:v>Tuesday</c:v>
                </c:pt>
                <c:pt idx="3">
                  <c:v>Wednesday</c:v>
                </c:pt>
                <c:pt idx="4">
                  <c:v>Thursday</c:v>
                </c:pt>
                <c:pt idx="5">
                  <c:v>Friday</c:v>
                </c:pt>
              </c:strCache>
            </c:strRef>
          </c:cat>
          <c:val>
            <c:numRef>
              <c:f>'Bounce Rate by Day of Week'!$C$3:$C$8</c:f>
              <c:numCache>
                <c:formatCode>General</c:formatCode>
                <c:ptCount val="6"/>
                <c:pt idx="0">
                  <c:v>1</c:v>
                </c:pt>
                <c:pt idx="1">
                  <c:v>2</c:v>
                </c:pt>
                <c:pt idx="3">
                  <c:v>1</c:v>
                </c:pt>
                <c:pt idx="4">
                  <c:v>1</c:v>
                </c:pt>
              </c:numCache>
            </c:numRef>
          </c:val>
          <c:extLst>
            <c:ext xmlns:c16="http://schemas.microsoft.com/office/drawing/2014/chart" uri="{C3380CC4-5D6E-409C-BE32-E72D297353CC}">
              <c16:uniqueId val="{00000001-532D-4AE8-8042-E12FB1391274}"/>
            </c:ext>
          </c:extLst>
        </c:ser>
        <c:dLbls>
          <c:showLegendKey val="0"/>
          <c:showVal val="0"/>
          <c:showCatName val="0"/>
          <c:showSerName val="0"/>
          <c:showPercent val="0"/>
          <c:showBubbleSize val="0"/>
        </c:dLbls>
        <c:gapWidth val="100"/>
        <c:overlap val="-24"/>
        <c:axId val="1478190240"/>
        <c:axId val="1478188800"/>
      </c:barChart>
      <c:catAx>
        <c:axId val="1478190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88800"/>
        <c:crosses val="autoZero"/>
        <c:auto val="1"/>
        <c:lblAlgn val="ctr"/>
        <c:lblOffset val="100"/>
        <c:noMultiLvlLbl val="0"/>
      </c:catAx>
      <c:valAx>
        <c:axId val="1478188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9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[Website_Traffic_Dashboard.xlsx]Traffic by Source Over Month!PivotTable6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Traffic by Source Over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'Traffic by Source Over Month'!$B$1:$B$2</c:f>
              <c:strCache>
                <c:ptCount val="1"/>
                <c:pt idx="0">
                  <c:v>Direct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'Traffic by Source Over Month'!$A$3</c:f>
              <c:strCache>
                <c:ptCount val="1"/>
                <c:pt idx="0">
                  <c:v>May</c:v>
                </c:pt>
              </c:strCache>
            </c:strRef>
          </c:cat>
          <c:val>
            <c:numRef>
              <c:f>'Traffic by Source Over Month'!$B$3</c:f>
              <c:numCache>
                <c:formatCode>General</c:formatCode>
                <c:ptCount val="1"/>
                <c:pt idx="0">
                  <c:v>6</c:v>
                </c:pt>
              </c:numCache>
            </c:numRef>
          </c:val>
          <c:extLst>
            <c:ext xmlns:c16="http://schemas.microsoft.com/office/drawing/2014/chart" uri="{C3380CC4-5D6E-409C-BE32-E72D297353CC}">
              <c16:uniqueId val="{00000000-36B8-44F7-AEE1-9B68F8DFE3E1}"/>
            </c:ext>
          </c:extLst>
        </c:ser>
        <c:ser>
          <c:idx val="1"/>
          <c:order val="1"/>
          <c:tx>
            <c:strRef>
              <c:f>'Traffic by Source Over Month'!$C$1:$C$2</c:f>
              <c:strCache>
                <c:ptCount val="1"/>
                <c:pt idx="0">
                  <c:v>Facebook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'Traffic by Source Over Month'!$A$3</c:f>
              <c:strCache>
                <c:ptCount val="1"/>
                <c:pt idx="0">
                  <c:v>May</c:v>
                </c:pt>
              </c:strCache>
            </c:strRef>
          </c:cat>
          <c:val>
            <c:numRef>
              <c:f>'Traffic by Source Over Month'!$C$3</c:f>
              <c:numCache>
                <c:formatCode>General</c:formatCode>
                <c:ptCount val="1"/>
                <c:pt idx="0">
                  <c:v>7</c:v>
                </c:pt>
              </c:numCache>
            </c:numRef>
          </c:val>
          <c:extLst>
            <c:ext xmlns:c16="http://schemas.microsoft.com/office/drawing/2014/chart" uri="{C3380CC4-5D6E-409C-BE32-E72D297353CC}">
              <c16:uniqueId val="{00000000-C081-4F82-9762-1A5021BD74B9}"/>
            </c:ext>
          </c:extLst>
        </c:ser>
        <c:ser>
          <c:idx val="2"/>
          <c:order val="2"/>
          <c:tx>
            <c:strRef>
              <c:f>'Traffic by Source Over Month'!$D$1:$D$2</c:f>
              <c:strCache>
                <c:ptCount val="1"/>
                <c:pt idx="0">
                  <c:v>Google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'Traffic by Source Over Month'!$A$3</c:f>
              <c:strCache>
                <c:ptCount val="1"/>
                <c:pt idx="0">
                  <c:v>May</c:v>
                </c:pt>
              </c:strCache>
            </c:strRef>
          </c:cat>
          <c:val>
            <c:numRef>
              <c:f>'Traffic by Source Over Month'!$D$3</c:f>
              <c:numCache>
                <c:formatCode>General</c:formatCode>
                <c:ptCount val="1"/>
                <c:pt idx="0">
                  <c:v>3</c:v>
                </c:pt>
              </c:numCache>
            </c:numRef>
          </c:val>
          <c:extLst>
            <c:ext xmlns:c16="http://schemas.microsoft.com/office/drawing/2014/chart" uri="{C3380CC4-5D6E-409C-BE32-E72D297353CC}">
              <c16:uniqueId val="{00000001-C081-4F82-9762-1A5021BD74B9}"/>
            </c:ext>
          </c:extLst>
        </c:ser>
        <c:ser>
          <c:idx val="3"/>
          <c:order val="3"/>
          <c:tx>
            <c:strRef>
              <c:f>'Traffic by Source Over Month'!$E$1:$E$2</c:f>
              <c:strCache>
                <c:ptCount val="1"/>
                <c:pt idx="0">
                  <c:v>Twitter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'Traffic by Source Over Month'!$A$3</c:f>
              <c:strCache>
                <c:ptCount val="1"/>
                <c:pt idx="0">
                  <c:v>May</c:v>
                </c:pt>
              </c:strCache>
            </c:strRef>
          </c:cat>
          <c:val>
            <c:numRef>
              <c:f>'Traffic by Source Over Month'!$E$3</c:f>
              <c:numCache>
                <c:formatCode>General</c:formatCode>
                <c:ptCount val="1"/>
                <c:pt idx="0">
                  <c:v>4</c:v>
                </c:pt>
              </c:numCache>
            </c:numRef>
          </c:val>
          <c:extLst>
            <c:ext xmlns:c16="http://schemas.microsoft.com/office/drawing/2014/chart" uri="{C3380CC4-5D6E-409C-BE32-E72D297353CC}">
              <c16:uniqueId val="{00000002-C081-4F82-9762-1A5021BD74B9}"/>
            </c:ext>
          </c:extLst>
        </c:ser>
        <c:dLbls>
          <c:showLegendKey val="0"/>
          <c:showVal val="0"/>
          <c:showCatName val="0"/>
          <c:showSerName val="0"/>
          <c:showPercent val="0"/>
          <c:showBubbleSize val="0"/>
        </c:dLbls>
        <c:gapWidth val="100"/>
        <c:overlap val="-24"/>
        <c:axId val="1478146560"/>
        <c:axId val="1478151840"/>
      </c:barChart>
      <c:catAx>
        <c:axId val="1478146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51840"/>
        <c:crosses val="autoZero"/>
        <c:auto val="1"/>
        <c:lblAlgn val="ctr"/>
        <c:lblOffset val="100"/>
        <c:noMultiLvlLbl val="0"/>
      </c:catAx>
      <c:valAx>
        <c:axId val="1478151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4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[Website_Traffic_Dashboard.xlsx]Bounce Rate by Page Viewed!PivotTable7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Bounce Rate by Page Viewed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'Bounce Rate by Page Viewed'!$B$1:$B$2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Page Viewed'!$A$3:$A$7</c:f>
              <c:strCache>
                <c:ptCount val="5"/>
                <c:pt idx="0">
                  <c:v>/blog/post1</c:v>
                </c:pt>
                <c:pt idx="1">
                  <c:v>/contact</c:v>
                </c:pt>
                <c:pt idx="2">
                  <c:v>/home</c:v>
                </c:pt>
                <c:pt idx="3">
                  <c:v>/pricing</c:v>
                </c:pt>
                <c:pt idx="4">
                  <c:v>/products</c:v>
                </c:pt>
              </c:strCache>
            </c:strRef>
          </c:cat>
          <c:val>
            <c:numRef>
              <c:f>'Bounce Rate by Page Viewed'!$B$3:$B$7</c:f>
              <c:numCache>
                <c:formatCode>General</c:formatCode>
                <c:ptCount val="5"/>
                <c:pt idx="0">
                  <c:v>4</c:v>
                </c:pt>
                <c:pt idx="1">
                  <c:v>2</c:v>
                </c:pt>
                <c:pt idx="2">
                  <c:v>3</c:v>
                </c:pt>
                <c:pt idx="3">
                  <c:v>2</c:v>
                </c:pt>
                <c:pt idx="4">
                  <c:v>4</c:v>
                </c:pt>
              </c:numCache>
            </c:numRef>
          </c:val>
          <c:extLst>
            <c:ext xmlns:c16="http://schemas.microsoft.com/office/drawing/2014/chart" uri="{C3380CC4-5D6E-409C-BE32-E72D297353CC}">
              <c16:uniqueId val="{00000000-E0BD-4FB9-A8CF-A19645F658E7}"/>
            </c:ext>
          </c:extLst>
        </c:ser>
        <c:ser>
          <c:idx val="1"/>
          <c:order val="1"/>
          <c:tx>
            <c:strRef>
              <c:f>'Bounce Rate by Page Viewed'!$C$1:$C$2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'Bounce Rate by Page Viewed'!$A$3:$A$7</c:f>
              <c:strCache>
                <c:ptCount val="5"/>
                <c:pt idx="0">
                  <c:v>/blog/post1</c:v>
                </c:pt>
                <c:pt idx="1">
                  <c:v>/contact</c:v>
                </c:pt>
                <c:pt idx="2">
                  <c:v>/home</c:v>
                </c:pt>
                <c:pt idx="3">
                  <c:v>/pricing</c:v>
                </c:pt>
                <c:pt idx="4">
                  <c:v>/products</c:v>
                </c:pt>
              </c:strCache>
            </c:strRef>
          </c:cat>
          <c:val>
            <c:numRef>
              <c:f>'Bounce Rate by Page Viewed'!$C$3:$C$7</c:f>
              <c:numCache>
                <c:formatCode>General</c:formatCode>
                <c:ptCount val="5"/>
                <c:pt idx="1">
                  <c:v>1</c:v>
                </c:pt>
                <c:pt idx="2">
                  <c:v>1</c:v>
                </c:pt>
                <c:pt idx="3">
                  <c:v>1</c:v>
                </c:pt>
                <c:pt idx="4">
                  <c:v>2</c:v>
                </c:pt>
              </c:numCache>
            </c:numRef>
          </c:val>
          <c:extLst>
            <c:ext xmlns:c16="http://schemas.microsoft.com/office/drawing/2014/chart" uri="{C3380CC4-5D6E-409C-BE32-E72D297353CC}">
              <c16:uniqueId val="{00000001-07F2-489D-BAB9-6A69507BCF63}"/>
            </c:ext>
          </c:extLst>
        </c:ser>
        <c:dLbls>
          <c:showLegendKey val="0"/>
          <c:showVal val="0"/>
          <c:showCatName val="0"/>
          <c:showSerName val="0"/>
          <c:showPercent val="0"/>
          <c:showBubbleSize val="0"/>
        </c:dLbls>
        <c:gapWidth val="115"/>
        <c:overlap val="-20"/>
        <c:axId val="1478150880"/>
        <c:axId val="1478155200"/>
      </c:barChart>
      <c:catAx>
        <c:axId val="1478150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55200"/>
        <c:crosses val="autoZero"/>
        <c:auto val="1"/>
        <c:lblAlgn val="ctr"/>
        <c:lblOffset val="100"/>
        <c:noMultiLvlLbl val="0"/>
      </c:catAx>
      <c:valAx>
        <c:axId val="14781552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15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7928</xdr:colOff>
      <xdr:row>2</xdr:row>
      <xdr:rowOff>0</xdr:rowOff>
    </xdr:from>
    <xdr:to>
      <xdr:col>8</xdr:col>
      <xdr:colOff>7937</xdr:colOff>
      <xdr:row>15</xdr:row>
      <xdr:rowOff>174625</xdr:rowOff>
    </xdr:to>
    <xdr:graphicFrame macro="">
      <xdr:nvGraphicFramePr>
        <xdr:cNvPr id="2" name="Chart 1">
          <a:extLst>
            <a:ext uri="{FF2B5EF4-FFF2-40B4-BE49-F238E27FC236}">
              <a16:creationId xmlns:a16="http://schemas.microsoft.com/office/drawing/2014/main" id="{B1258D23-FE41-4391-85D3-F2368ECD0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7928</xdr:colOff>
      <xdr:row>15</xdr:row>
      <xdr:rowOff>174616</xdr:rowOff>
    </xdr:from>
    <xdr:to>
      <xdr:col>8</xdr:col>
      <xdr:colOff>7938</xdr:colOff>
      <xdr:row>30</xdr:row>
      <xdr:rowOff>23812</xdr:rowOff>
    </xdr:to>
    <xdr:graphicFrame macro="">
      <xdr:nvGraphicFramePr>
        <xdr:cNvPr id="3" name="Chart 2">
          <a:extLst>
            <a:ext uri="{FF2B5EF4-FFF2-40B4-BE49-F238E27FC236}">
              <a16:creationId xmlns:a16="http://schemas.microsoft.com/office/drawing/2014/main" id="{F39E737F-323E-40D7-87CE-D9CC120E4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7918</xdr:colOff>
      <xdr:row>2</xdr:row>
      <xdr:rowOff>7937</xdr:rowOff>
    </xdr:from>
    <xdr:to>
      <xdr:col>16</xdr:col>
      <xdr:colOff>7937</xdr:colOff>
      <xdr:row>16</xdr:row>
      <xdr:rowOff>31749</xdr:rowOff>
    </xdr:to>
    <xdr:graphicFrame macro="">
      <xdr:nvGraphicFramePr>
        <xdr:cNvPr id="4" name="Chart 3">
          <a:extLst>
            <a:ext uri="{FF2B5EF4-FFF2-40B4-BE49-F238E27FC236}">
              <a16:creationId xmlns:a16="http://schemas.microsoft.com/office/drawing/2014/main" id="{759C530C-339A-4650-B139-893765010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595286</xdr:colOff>
      <xdr:row>16</xdr:row>
      <xdr:rowOff>31744</xdr:rowOff>
    </xdr:from>
    <xdr:to>
      <xdr:col>16</xdr:col>
      <xdr:colOff>15875</xdr:colOff>
      <xdr:row>30</xdr:row>
      <xdr:rowOff>23812</xdr:rowOff>
    </xdr:to>
    <xdr:graphicFrame macro="">
      <xdr:nvGraphicFramePr>
        <xdr:cNvPr id="5" name="Chart 4">
          <a:extLst>
            <a:ext uri="{FF2B5EF4-FFF2-40B4-BE49-F238E27FC236}">
              <a16:creationId xmlns:a16="http://schemas.microsoft.com/office/drawing/2014/main" id="{A9ADE368-CE9D-4EDE-A276-BF2E6D265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7923</xdr:colOff>
      <xdr:row>1</xdr:row>
      <xdr:rowOff>254000</xdr:rowOff>
    </xdr:from>
    <xdr:to>
      <xdr:col>23</xdr:col>
      <xdr:colOff>301610</xdr:colOff>
      <xdr:row>15</xdr:row>
      <xdr:rowOff>182561</xdr:rowOff>
    </xdr:to>
    <xdr:graphicFrame macro="">
      <xdr:nvGraphicFramePr>
        <xdr:cNvPr id="6" name="Chart 5">
          <a:extLst>
            <a:ext uri="{FF2B5EF4-FFF2-40B4-BE49-F238E27FC236}">
              <a16:creationId xmlns:a16="http://schemas.microsoft.com/office/drawing/2014/main" id="{279F9496-C9C4-4B54-9851-3847B4BF5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22222</xdr:colOff>
      <xdr:row>20</xdr:row>
      <xdr:rowOff>4760</xdr:rowOff>
    </xdr:from>
    <xdr:to>
      <xdr:col>18</xdr:col>
      <xdr:colOff>309562</xdr:colOff>
      <xdr:row>30</xdr:row>
      <xdr:rowOff>39688</xdr:rowOff>
    </xdr:to>
    <mc:AlternateContent xmlns:mc="http://schemas.openxmlformats.org/markup-compatibility/2006" xmlns:a14="http://schemas.microsoft.com/office/drawing/2010/main">
      <mc:Choice Requires="a14">
        <xdr:graphicFrame macro="">
          <xdr:nvGraphicFramePr>
            <xdr:cNvPr id="7" name="Source">
              <a:extLst>
                <a:ext uri="{FF2B5EF4-FFF2-40B4-BE49-F238E27FC236}">
                  <a16:creationId xmlns:a16="http://schemas.microsoft.com/office/drawing/2014/main" id="{C6EC44F6-7F6C-B894-F8B7-499296D89DC9}"/>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9801222" y="3910010"/>
              <a:ext cx="1509715" cy="1860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315907</xdr:colOff>
      <xdr:row>20</xdr:row>
      <xdr:rowOff>12700</xdr:rowOff>
    </xdr:from>
    <xdr:to>
      <xdr:col>20</xdr:col>
      <xdr:colOff>603249</xdr:colOff>
      <xdr:row>30</xdr:row>
      <xdr:rowOff>47625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8C2F5C4C-FA7D-AB4E-BB60-98B0B2AFAA5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317282" y="3917950"/>
              <a:ext cx="1509717" cy="186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609596</xdr:colOff>
      <xdr:row>20</xdr:row>
      <xdr:rowOff>12699</xdr:rowOff>
    </xdr:from>
    <xdr:to>
      <xdr:col>23</xdr:col>
      <xdr:colOff>604833</xdr:colOff>
      <xdr:row>30</xdr:row>
      <xdr:rowOff>47625</xdr:rowOff>
    </xdr:to>
    <mc:AlternateContent xmlns:mc="http://schemas.openxmlformats.org/markup-compatibility/2006" xmlns:a14="http://schemas.microsoft.com/office/drawing/2010/main">
      <mc:Choice Requires="a14">
        <xdr:graphicFrame macro="">
          <xdr:nvGraphicFramePr>
            <xdr:cNvPr id="10" name="DayofWeek">
              <a:extLst>
                <a:ext uri="{FF2B5EF4-FFF2-40B4-BE49-F238E27FC236}">
                  <a16:creationId xmlns:a16="http://schemas.microsoft.com/office/drawing/2014/main" id="{63B23F39-A6FB-601A-059C-3FB2CF4E1685}"/>
                </a:ext>
              </a:extLst>
            </xdr:cNvPr>
            <xdr:cNvGraphicFramePr/>
          </xdr:nvGraphicFramePr>
          <xdr:xfrm>
            <a:off x="0" y="0"/>
            <a:ext cx="0" cy="0"/>
          </xdr:xfrm>
          <a:graphic>
            <a:graphicData uri="http://schemas.microsoft.com/office/drawing/2010/slicer">
              <sle:slicer xmlns:sle="http://schemas.microsoft.com/office/drawing/2010/slicer" name="DayofWeek"/>
            </a:graphicData>
          </a:graphic>
        </xdr:graphicFrame>
      </mc:Choice>
      <mc:Fallback xmlns="">
        <xdr:sp macro="" textlink="">
          <xdr:nvSpPr>
            <xdr:cNvPr id="0" name=""/>
            <xdr:cNvSpPr>
              <a:spLocks noTextEdit="1"/>
            </xdr:cNvSpPr>
          </xdr:nvSpPr>
          <xdr:spPr>
            <a:xfrm>
              <a:off x="12833346" y="3917949"/>
              <a:ext cx="1828800" cy="1860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723900</xdr:colOff>
      <xdr:row>0</xdr:row>
      <xdr:rowOff>0</xdr:rowOff>
    </xdr:from>
    <xdr:to>
      <xdr:col>10</xdr:col>
      <xdr:colOff>292100</xdr:colOff>
      <xdr:row>14</xdr:row>
      <xdr:rowOff>165100</xdr:rowOff>
    </xdr:to>
    <xdr:graphicFrame macro="">
      <xdr:nvGraphicFramePr>
        <xdr:cNvPr id="2" name="Chart 1">
          <a:extLst>
            <a:ext uri="{FF2B5EF4-FFF2-40B4-BE49-F238E27FC236}">
              <a16:creationId xmlns:a16="http://schemas.microsoft.com/office/drawing/2014/main" id="{6B33D61A-8315-BC1C-6788-8269E4BDE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968375</xdr:colOff>
      <xdr:row>0</xdr:row>
      <xdr:rowOff>15875</xdr:rowOff>
    </xdr:from>
    <xdr:to>
      <xdr:col>9</xdr:col>
      <xdr:colOff>288925</xdr:colOff>
      <xdr:row>14</xdr:row>
      <xdr:rowOff>180975</xdr:rowOff>
    </xdr:to>
    <xdr:graphicFrame macro="">
      <xdr:nvGraphicFramePr>
        <xdr:cNvPr id="2" name="Chart 1">
          <a:extLst>
            <a:ext uri="{FF2B5EF4-FFF2-40B4-BE49-F238E27FC236}">
              <a16:creationId xmlns:a16="http://schemas.microsoft.com/office/drawing/2014/main" id="{366BA502-AB91-33CF-D2F9-EFC707210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203200</xdr:colOff>
      <xdr:row>0</xdr:row>
      <xdr:rowOff>44450</xdr:rowOff>
    </xdr:from>
    <xdr:to>
      <xdr:col>10</xdr:col>
      <xdr:colOff>368300</xdr:colOff>
      <xdr:row>15</xdr:row>
      <xdr:rowOff>25400</xdr:rowOff>
    </xdr:to>
    <xdr:graphicFrame macro="">
      <xdr:nvGraphicFramePr>
        <xdr:cNvPr id="2" name="Chart 1">
          <a:extLst>
            <a:ext uri="{FF2B5EF4-FFF2-40B4-BE49-F238E27FC236}">
              <a16:creationId xmlns:a16="http://schemas.microsoft.com/office/drawing/2014/main" id="{EE27154E-30E7-8E93-293B-EB178BC16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xdr:colOff>
      <xdr:row>0</xdr:row>
      <xdr:rowOff>0</xdr:rowOff>
    </xdr:from>
    <xdr:to>
      <xdr:col>12</xdr:col>
      <xdr:colOff>203200</xdr:colOff>
      <xdr:row>14</xdr:row>
      <xdr:rowOff>165100</xdr:rowOff>
    </xdr:to>
    <xdr:graphicFrame macro="">
      <xdr:nvGraphicFramePr>
        <xdr:cNvPr id="2" name="Chart 1">
          <a:extLst>
            <a:ext uri="{FF2B5EF4-FFF2-40B4-BE49-F238E27FC236}">
              <a16:creationId xmlns:a16="http://schemas.microsoft.com/office/drawing/2014/main" id="{0CA8CF09-480F-3457-693C-2F34EFB78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0</xdr:row>
      <xdr:rowOff>12700</xdr:rowOff>
    </xdr:from>
    <xdr:to>
      <xdr:col>10</xdr:col>
      <xdr:colOff>184150</xdr:colOff>
      <xdr:row>14</xdr:row>
      <xdr:rowOff>177800</xdr:rowOff>
    </xdr:to>
    <xdr:graphicFrame macro="">
      <xdr:nvGraphicFramePr>
        <xdr:cNvPr id="2" name="Chart 1">
          <a:extLst>
            <a:ext uri="{FF2B5EF4-FFF2-40B4-BE49-F238E27FC236}">
              <a16:creationId xmlns:a16="http://schemas.microsoft.com/office/drawing/2014/main" id="{140A7A14-FA0D-BECF-B170-946A51685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 refreshedDate="46170.843363078704" createdVersion="8" refreshedVersion="8" minRefreshableVersion="3" recordCount="300" xr:uid="{4C5800E4-5D5F-450A-8382-99B88C446EDF}">
  <cacheSource type="worksheet">
    <worksheetSource name="t"/>
  </cacheSource>
  <cacheFields count="10">
    <cacheField name="VisitID" numFmtId="0">
      <sharedItems containsSemiMixedTypes="0" containsString="0" containsNumber="1" containsInteger="1" minValue="1" maxValue="300"/>
    </cacheField>
    <cacheField name="Timestamp" numFmtId="164">
      <sharedItems containsSemiMixedTypes="0" containsNonDate="0" containsDate="1" containsString="0" minDate="2025-01-04T06:58:59" maxDate="2025-12-31T20:30:21"/>
    </cacheField>
    <cacheField name="PageViewed" numFmtId="0">
      <sharedItems count="5">
        <s v="/pricing"/>
        <s v="/blog/post1"/>
        <s v="/home"/>
        <s v="/products"/>
        <s v="/contact"/>
      </sharedItems>
    </cacheField>
    <cacheField name="Source" numFmtId="0">
      <sharedItems count="4">
        <s v="Direct"/>
        <s v="Facebook"/>
        <s v="Google"/>
        <s v="Twitter"/>
      </sharedItems>
    </cacheField>
    <cacheField name="Bounce" numFmtId="0">
      <sharedItems count="2">
        <s v="Yes"/>
        <s v="No"/>
      </sharedItems>
    </cacheField>
    <cacheField name="Date" numFmtId="165">
      <sharedItems containsSemiMixedTypes="0" containsNonDate="0" containsDate="1" containsString="0" minDate="2025-01-04T00:00:00" maxDate="2026-01-01T00:00:00"/>
    </cacheField>
    <cacheField name="Hour" numFmtId="0">
      <sharedItems containsSemiMixedTypes="0" containsString="0" containsNumber="1" containsInteger="1" minValue="0" maxValue="23" count="24">
        <n v="1"/>
        <n v="0"/>
        <n v="20"/>
        <n v="18"/>
        <n v="7"/>
        <n v="23"/>
        <n v="10"/>
        <n v="9"/>
        <n v="15"/>
        <n v="19"/>
        <n v="5"/>
        <n v="14"/>
        <n v="2"/>
        <n v="6"/>
        <n v="22"/>
        <n v="3"/>
        <n v="17"/>
        <n v="21"/>
        <n v="16"/>
        <n v="13"/>
        <n v="8"/>
        <n v="4"/>
        <n v="11"/>
        <n v="12"/>
      </sharedItems>
    </cacheField>
    <cacheField name="DayofWeek" numFmtId="0">
      <sharedItems count="7">
        <s v="Sunday"/>
        <s v="Saturday"/>
        <s v="Monday"/>
        <s v="Wednesday"/>
        <s v="Friday"/>
        <s v="Tuesday"/>
        <s v="Thursday"/>
      </sharedItems>
    </cacheField>
    <cacheField name="Month" numFmtId="0">
      <sharedItems count="12">
        <s v="May"/>
        <s v="Jun"/>
        <s v="Nov"/>
        <s v="Sep"/>
        <s v="Apr"/>
        <s v="Oct"/>
        <s v="Mar"/>
        <s v="Jan"/>
        <s v="Aug"/>
        <s v="Jul"/>
        <s v="Feb"/>
        <s v="Dec"/>
      </sharedItems>
    </cacheField>
    <cacheField name="BounceRate" numFmtId="0" formula="Bounce" databaseField="0"/>
  </cacheFields>
  <extLst>
    <ext xmlns:x14="http://schemas.microsoft.com/office/spreadsheetml/2009/9/main" uri="{725AE2AE-9491-48be-B2B4-4EB974FC3084}">
      <x14:pivotCacheDefinition pivotCacheId="272453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d v="2025-05-25T01:12:34"/>
    <x v="0"/>
    <x v="0"/>
    <x v="0"/>
    <d v="2025-05-25T00:00:00"/>
    <x v="0"/>
    <x v="0"/>
    <x v="0"/>
  </r>
  <r>
    <n v="2"/>
    <d v="2025-06-21T00:56:32"/>
    <x v="1"/>
    <x v="1"/>
    <x v="0"/>
    <d v="2025-06-21T00:00:00"/>
    <x v="1"/>
    <x v="1"/>
    <x v="1"/>
  </r>
  <r>
    <n v="3"/>
    <d v="2025-11-24T20:53:06"/>
    <x v="2"/>
    <x v="2"/>
    <x v="1"/>
    <d v="2025-11-24T00:00:00"/>
    <x v="2"/>
    <x v="2"/>
    <x v="2"/>
  </r>
  <r>
    <n v="4"/>
    <d v="2025-09-17T18:38:34"/>
    <x v="1"/>
    <x v="3"/>
    <x v="1"/>
    <d v="2025-09-17T00:00:00"/>
    <x v="3"/>
    <x v="3"/>
    <x v="3"/>
  </r>
  <r>
    <n v="5"/>
    <d v="2025-06-18T07:17:14"/>
    <x v="3"/>
    <x v="3"/>
    <x v="1"/>
    <d v="2025-06-18T00:00:00"/>
    <x v="4"/>
    <x v="3"/>
    <x v="1"/>
  </r>
  <r>
    <n v="6"/>
    <d v="2025-06-13T23:35:55"/>
    <x v="2"/>
    <x v="0"/>
    <x v="0"/>
    <d v="2025-06-13T00:00:00"/>
    <x v="5"/>
    <x v="4"/>
    <x v="1"/>
  </r>
  <r>
    <n v="7"/>
    <d v="2025-06-13T10:54:40"/>
    <x v="0"/>
    <x v="2"/>
    <x v="1"/>
    <d v="2025-06-13T00:00:00"/>
    <x v="6"/>
    <x v="4"/>
    <x v="1"/>
  </r>
  <r>
    <n v="8"/>
    <d v="2025-09-21T23:30:19"/>
    <x v="3"/>
    <x v="0"/>
    <x v="0"/>
    <d v="2025-09-21T00:00:00"/>
    <x v="5"/>
    <x v="0"/>
    <x v="3"/>
  </r>
  <r>
    <n v="9"/>
    <d v="2025-11-18T20:40:45"/>
    <x v="4"/>
    <x v="0"/>
    <x v="1"/>
    <d v="2025-11-18T00:00:00"/>
    <x v="2"/>
    <x v="5"/>
    <x v="2"/>
  </r>
  <r>
    <n v="10"/>
    <d v="2025-04-12T09:55:17"/>
    <x v="0"/>
    <x v="0"/>
    <x v="1"/>
    <d v="2025-04-12T00:00:00"/>
    <x v="7"/>
    <x v="1"/>
    <x v="4"/>
  </r>
  <r>
    <n v="11"/>
    <d v="2025-10-02T15:01:27"/>
    <x v="0"/>
    <x v="2"/>
    <x v="1"/>
    <d v="2025-10-02T00:00:00"/>
    <x v="8"/>
    <x v="6"/>
    <x v="5"/>
  </r>
  <r>
    <n v="12"/>
    <d v="2025-11-29T09:22:54"/>
    <x v="0"/>
    <x v="1"/>
    <x v="0"/>
    <d v="2025-11-29T00:00:00"/>
    <x v="7"/>
    <x v="1"/>
    <x v="2"/>
  </r>
  <r>
    <n v="13"/>
    <d v="2025-03-20T19:05:19"/>
    <x v="0"/>
    <x v="3"/>
    <x v="1"/>
    <d v="2025-03-20T00:00:00"/>
    <x v="9"/>
    <x v="6"/>
    <x v="6"/>
  </r>
  <r>
    <n v="14"/>
    <d v="2025-05-26T07:10:41"/>
    <x v="3"/>
    <x v="3"/>
    <x v="0"/>
    <d v="2025-05-26T00:00:00"/>
    <x v="4"/>
    <x v="2"/>
    <x v="0"/>
  </r>
  <r>
    <n v="15"/>
    <d v="2025-01-07T19:32:06"/>
    <x v="3"/>
    <x v="3"/>
    <x v="1"/>
    <d v="2025-01-07T00:00:00"/>
    <x v="9"/>
    <x v="5"/>
    <x v="7"/>
  </r>
  <r>
    <n v="16"/>
    <d v="2025-11-23T05:00:04"/>
    <x v="3"/>
    <x v="1"/>
    <x v="0"/>
    <d v="2025-11-23T00:00:00"/>
    <x v="10"/>
    <x v="0"/>
    <x v="2"/>
  </r>
  <r>
    <n v="17"/>
    <d v="2025-06-18T14:27:16"/>
    <x v="2"/>
    <x v="3"/>
    <x v="1"/>
    <d v="2025-06-18T00:00:00"/>
    <x v="11"/>
    <x v="3"/>
    <x v="1"/>
  </r>
  <r>
    <n v="18"/>
    <d v="2025-03-08T18:39:03"/>
    <x v="3"/>
    <x v="3"/>
    <x v="1"/>
    <d v="2025-03-08T00:00:00"/>
    <x v="3"/>
    <x v="1"/>
    <x v="6"/>
  </r>
  <r>
    <n v="19"/>
    <d v="2025-01-05T19:27:47"/>
    <x v="3"/>
    <x v="1"/>
    <x v="1"/>
    <d v="2025-01-05T00:00:00"/>
    <x v="9"/>
    <x v="0"/>
    <x v="7"/>
  </r>
  <r>
    <n v="20"/>
    <d v="2025-08-20T14:19:16"/>
    <x v="0"/>
    <x v="0"/>
    <x v="0"/>
    <d v="2025-08-20T00:00:00"/>
    <x v="11"/>
    <x v="3"/>
    <x v="8"/>
  </r>
  <r>
    <n v="21"/>
    <d v="2025-05-16T02:40:01"/>
    <x v="1"/>
    <x v="1"/>
    <x v="1"/>
    <d v="2025-05-16T00:00:00"/>
    <x v="12"/>
    <x v="4"/>
    <x v="0"/>
  </r>
  <r>
    <n v="22"/>
    <d v="2025-07-01T23:20:57"/>
    <x v="3"/>
    <x v="1"/>
    <x v="1"/>
    <d v="2025-07-01T00:00:00"/>
    <x v="5"/>
    <x v="5"/>
    <x v="9"/>
  </r>
  <r>
    <n v="23"/>
    <d v="2025-02-10T02:59:32"/>
    <x v="3"/>
    <x v="1"/>
    <x v="1"/>
    <d v="2025-02-10T00:00:00"/>
    <x v="12"/>
    <x v="2"/>
    <x v="10"/>
  </r>
  <r>
    <n v="24"/>
    <d v="2025-01-04T06:58:59"/>
    <x v="1"/>
    <x v="1"/>
    <x v="0"/>
    <d v="2025-01-04T00:00:00"/>
    <x v="13"/>
    <x v="1"/>
    <x v="7"/>
  </r>
  <r>
    <n v="25"/>
    <d v="2025-06-05T06:38:30"/>
    <x v="3"/>
    <x v="2"/>
    <x v="1"/>
    <d v="2025-06-05T00:00:00"/>
    <x v="13"/>
    <x v="6"/>
    <x v="1"/>
  </r>
  <r>
    <n v="26"/>
    <d v="2025-10-25T22:41:17"/>
    <x v="2"/>
    <x v="3"/>
    <x v="0"/>
    <d v="2025-10-25T00:00:00"/>
    <x v="14"/>
    <x v="1"/>
    <x v="5"/>
  </r>
  <r>
    <n v="27"/>
    <d v="2025-04-22T07:37:53"/>
    <x v="2"/>
    <x v="1"/>
    <x v="1"/>
    <d v="2025-04-22T00:00:00"/>
    <x v="4"/>
    <x v="5"/>
    <x v="4"/>
  </r>
  <r>
    <n v="28"/>
    <d v="2025-09-19T06:30:46"/>
    <x v="4"/>
    <x v="3"/>
    <x v="1"/>
    <d v="2025-09-19T00:00:00"/>
    <x v="13"/>
    <x v="4"/>
    <x v="3"/>
  </r>
  <r>
    <n v="29"/>
    <d v="2025-01-13T02:40:34"/>
    <x v="4"/>
    <x v="3"/>
    <x v="1"/>
    <d v="2025-01-13T00:00:00"/>
    <x v="12"/>
    <x v="2"/>
    <x v="7"/>
  </r>
  <r>
    <n v="30"/>
    <d v="2025-05-11T23:08:59"/>
    <x v="2"/>
    <x v="3"/>
    <x v="1"/>
    <d v="2025-05-11T00:00:00"/>
    <x v="5"/>
    <x v="0"/>
    <x v="0"/>
  </r>
  <r>
    <n v="31"/>
    <d v="2025-01-21T06:04:17"/>
    <x v="2"/>
    <x v="2"/>
    <x v="0"/>
    <d v="2025-01-21T00:00:00"/>
    <x v="13"/>
    <x v="5"/>
    <x v="7"/>
  </r>
  <r>
    <n v="32"/>
    <d v="2025-12-28T10:01:39"/>
    <x v="3"/>
    <x v="3"/>
    <x v="1"/>
    <d v="2025-12-28T00:00:00"/>
    <x v="6"/>
    <x v="0"/>
    <x v="11"/>
  </r>
  <r>
    <n v="33"/>
    <d v="2025-12-03T01:33:21"/>
    <x v="1"/>
    <x v="2"/>
    <x v="0"/>
    <d v="2025-12-03T00:00:00"/>
    <x v="0"/>
    <x v="3"/>
    <x v="11"/>
  </r>
  <r>
    <n v="34"/>
    <d v="2025-03-29T00:33:12"/>
    <x v="0"/>
    <x v="0"/>
    <x v="1"/>
    <d v="2025-03-29T00:00:00"/>
    <x v="1"/>
    <x v="1"/>
    <x v="6"/>
  </r>
  <r>
    <n v="35"/>
    <d v="2025-02-22T14:50:26"/>
    <x v="4"/>
    <x v="0"/>
    <x v="0"/>
    <d v="2025-02-22T00:00:00"/>
    <x v="11"/>
    <x v="1"/>
    <x v="10"/>
  </r>
  <r>
    <n v="36"/>
    <d v="2025-11-20T06:55:29"/>
    <x v="4"/>
    <x v="2"/>
    <x v="0"/>
    <d v="2025-11-20T00:00:00"/>
    <x v="13"/>
    <x v="6"/>
    <x v="2"/>
  </r>
  <r>
    <n v="37"/>
    <d v="2025-01-10T00:01:20"/>
    <x v="1"/>
    <x v="0"/>
    <x v="1"/>
    <d v="2025-01-10T00:00:00"/>
    <x v="1"/>
    <x v="4"/>
    <x v="7"/>
  </r>
  <r>
    <n v="38"/>
    <d v="2025-10-18T20:22:48"/>
    <x v="4"/>
    <x v="1"/>
    <x v="0"/>
    <d v="2025-10-18T00:00:00"/>
    <x v="2"/>
    <x v="1"/>
    <x v="5"/>
  </r>
  <r>
    <n v="39"/>
    <d v="2025-01-23T03:47:04"/>
    <x v="1"/>
    <x v="1"/>
    <x v="1"/>
    <d v="2025-01-23T00:00:00"/>
    <x v="15"/>
    <x v="6"/>
    <x v="7"/>
  </r>
  <r>
    <n v="40"/>
    <d v="2025-11-19T22:55:01"/>
    <x v="1"/>
    <x v="3"/>
    <x v="1"/>
    <d v="2025-11-19T00:00:00"/>
    <x v="14"/>
    <x v="3"/>
    <x v="2"/>
  </r>
  <r>
    <n v="41"/>
    <d v="2025-07-23T09:57:29"/>
    <x v="0"/>
    <x v="2"/>
    <x v="0"/>
    <d v="2025-07-23T00:00:00"/>
    <x v="7"/>
    <x v="3"/>
    <x v="9"/>
  </r>
  <r>
    <n v="42"/>
    <d v="2025-10-22T17:20:48"/>
    <x v="4"/>
    <x v="3"/>
    <x v="0"/>
    <d v="2025-10-22T00:00:00"/>
    <x v="16"/>
    <x v="3"/>
    <x v="5"/>
  </r>
  <r>
    <n v="43"/>
    <d v="2025-10-11T23:17:56"/>
    <x v="4"/>
    <x v="1"/>
    <x v="1"/>
    <d v="2025-10-11T00:00:00"/>
    <x v="5"/>
    <x v="1"/>
    <x v="5"/>
  </r>
  <r>
    <n v="44"/>
    <d v="2025-01-29T07:55:20"/>
    <x v="1"/>
    <x v="3"/>
    <x v="0"/>
    <d v="2025-01-29T00:00:00"/>
    <x v="4"/>
    <x v="3"/>
    <x v="7"/>
  </r>
  <r>
    <n v="45"/>
    <d v="2025-02-25T21:00:31"/>
    <x v="0"/>
    <x v="2"/>
    <x v="0"/>
    <d v="2025-02-25T00:00:00"/>
    <x v="17"/>
    <x v="5"/>
    <x v="10"/>
  </r>
  <r>
    <n v="46"/>
    <d v="2025-07-26T17:18:13"/>
    <x v="1"/>
    <x v="0"/>
    <x v="1"/>
    <d v="2025-07-26T00:00:00"/>
    <x v="16"/>
    <x v="1"/>
    <x v="9"/>
  </r>
  <r>
    <n v="47"/>
    <d v="2025-12-28T18:44:00"/>
    <x v="1"/>
    <x v="2"/>
    <x v="1"/>
    <d v="2025-12-28T00:00:00"/>
    <x v="3"/>
    <x v="0"/>
    <x v="11"/>
  </r>
  <r>
    <n v="48"/>
    <d v="2025-07-02T22:40:02"/>
    <x v="4"/>
    <x v="1"/>
    <x v="1"/>
    <d v="2025-07-02T00:00:00"/>
    <x v="14"/>
    <x v="3"/>
    <x v="9"/>
  </r>
  <r>
    <n v="49"/>
    <d v="2025-01-21T21:30:25"/>
    <x v="0"/>
    <x v="3"/>
    <x v="0"/>
    <d v="2025-01-21T00:00:00"/>
    <x v="17"/>
    <x v="5"/>
    <x v="7"/>
  </r>
  <r>
    <n v="50"/>
    <d v="2025-01-13T09:33:12"/>
    <x v="0"/>
    <x v="3"/>
    <x v="1"/>
    <d v="2025-01-13T00:00:00"/>
    <x v="7"/>
    <x v="2"/>
    <x v="7"/>
  </r>
  <r>
    <n v="51"/>
    <d v="2025-02-02T21:41:20"/>
    <x v="3"/>
    <x v="3"/>
    <x v="1"/>
    <d v="2025-02-02T00:00:00"/>
    <x v="17"/>
    <x v="0"/>
    <x v="10"/>
  </r>
  <r>
    <n v="52"/>
    <d v="2025-05-14T06:32:55"/>
    <x v="3"/>
    <x v="3"/>
    <x v="1"/>
    <d v="2025-05-14T00:00:00"/>
    <x v="13"/>
    <x v="3"/>
    <x v="0"/>
  </r>
  <r>
    <n v="53"/>
    <d v="2025-10-04T16:04:43"/>
    <x v="3"/>
    <x v="0"/>
    <x v="1"/>
    <d v="2025-10-04T00:00:00"/>
    <x v="18"/>
    <x v="1"/>
    <x v="5"/>
  </r>
  <r>
    <n v="54"/>
    <d v="2025-09-05T03:42:48"/>
    <x v="1"/>
    <x v="2"/>
    <x v="1"/>
    <d v="2025-09-05T00:00:00"/>
    <x v="15"/>
    <x v="4"/>
    <x v="3"/>
  </r>
  <r>
    <n v="55"/>
    <d v="2025-10-05T19:02:42"/>
    <x v="2"/>
    <x v="1"/>
    <x v="1"/>
    <d v="2025-10-05T00:00:00"/>
    <x v="9"/>
    <x v="0"/>
    <x v="5"/>
  </r>
  <r>
    <n v="56"/>
    <d v="2025-02-19T07:29:24"/>
    <x v="1"/>
    <x v="3"/>
    <x v="0"/>
    <d v="2025-02-19T00:00:00"/>
    <x v="4"/>
    <x v="3"/>
    <x v="10"/>
  </r>
  <r>
    <n v="57"/>
    <d v="2025-01-05T16:30:18"/>
    <x v="3"/>
    <x v="1"/>
    <x v="1"/>
    <d v="2025-01-05T00:00:00"/>
    <x v="18"/>
    <x v="0"/>
    <x v="7"/>
  </r>
  <r>
    <n v="58"/>
    <d v="2025-07-01T20:41:00"/>
    <x v="1"/>
    <x v="0"/>
    <x v="1"/>
    <d v="2025-07-01T00:00:00"/>
    <x v="2"/>
    <x v="5"/>
    <x v="9"/>
  </r>
  <r>
    <n v="59"/>
    <d v="2025-01-05T13:05:58"/>
    <x v="4"/>
    <x v="1"/>
    <x v="0"/>
    <d v="2025-01-05T00:00:00"/>
    <x v="19"/>
    <x v="0"/>
    <x v="7"/>
  </r>
  <r>
    <n v="60"/>
    <d v="2025-12-31T20:30:21"/>
    <x v="0"/>
    <x v="3"/>
    <x v="0"/>
    <d v="2025-12-31T00:00:00"/>
    <x v="2"/>
    <x v="3"/>
    <x v="11"/>
  </r>
  <r>
    <n v="61"/>
    <d v="2025-06-01T06:49:22"/>
    <x v="0"/>
    <x v="3"/>
    <x v="1"/>
    <d v="2025-06-01T00:00:00"/>
    <x v="13"/>
    <x v="0"/>
    <x v="1"/>
  </r>
  <r>
    <n v="62"/>
    <d v="2025-12-31T08:37:33"/>
    <x v="1"/>
    <x v="3"/>
    <x v="1"/>
    <d v="2025-12-31T00:00:00"/>
    <x v="20"/>
    <x v="3"/>
    <x v="11"/>
  </r>
  <r>
    <n v="63"/>
    <d v="2025-06-02T20:29:48"/>
    <x v="4"/>
    <x v="1"/>
    <x v="0"/>
    <d v="2025-06-02T00:00:00"/>
    <x v="2"/>
    <x v="2"/>
    <x v="1"/>
  </r>
  <r>
    <n v="64"/>
    <d v="2025-01-28T10:11:08"/>
    <x v="1"/>
    <x v="0"/>
    <x v="1"/>
    <d v="2025-01-28T00:00:00"/>
    <x v="6"/>
    <x v="5"/>
    <x v="7"/>
  </r>
  <r>
    <n v="65"/>
    <d v="2025-07-04T16:38:09"/>
    <x v="1"/>
    <x v="2"/>
    <x v="1"/>
    <d v="2025-07-04T00:00:00"/>
    <x v="18"/>
    <x v="4"/>
    <x v="9"/>
  </r>
  <r>
    <n v="66"/>
    <d v="2025-08-28T17:00:33"/>
    <x v="2"/>
    <x v="3"/>
    <x v="1"/>
    <d v="2025-08-28T00:00:00"/>
    <x v="16"/>
    <x v="6"/>
    <x v="8"/>
  </r>
  <r>
    <n v="67"/>
    <d v="2025-03-11T03:51:39"/>
    <x v="1"/>
    <x v="0"/>
    <x v="1"/>
    <d v="2025-03-11T00:00:00"/>
    <x v="15"/>
    <x v="5"/>
    <x v="6"/>
  </r>
  <r>
    <n v="68"/>
    <d v="2025-04-22T22:12:34"/>
    <x v="1"/>
    <x v="3"/>
    <x v="1"/>
    <d v="2025-04-22T00:00:00"/>
    <x v="14"/>
    <x v="5"/>
    <x v="4"/>
  </r>
  <r>
    <n v="69"/>
    <d v="2025-01-30T16:07:39"/>
    <x v="2"/>
    <x v="0"/>
    <x v="1"/>
    <d v="2025-01-30T00:00:00"/>
    <x v="18"/>
    <x v="6"/>
    <x v="7"/>
  </r>
  <r>
    <n v="70"/>
    <d v="2025-08-16T09:20:21"/>
    <x v="3"/>
    <x v="3"/>
    <x v="1"/>
    <d v="2025-08-16T00:00:00"/>
    <x v="7"/>
    <x v="1"/>
    <x v="8"/>
  </r>
  <r>
    <n v="71"/>
    <d v="2025-12-14T04:33:45"/>
    <x v="4"/>
    <x v="3"/>
    <x v="1"/>
    <d v="2025-12-14T00:00:00"/>
    <x v="21"/>
    <x v="0"/>
    <x v="11"/>
  </r>
  <r>
    <n v="72"/>
    <d v="2025-08-01T09:24:49"/>
    <x v="4"/>
    <x v="1"/>
    <x v="1"/>
    <d v="2025-08-01T00:00:00"/>
    <x v="7"/>
    <x v="4"/>
    <x v="8"/>
  </r>
  <r>
    <n v="73"/>
    <d v="2025-11-27T01:03:53"/>
    <x v="3"/>
    <x v="2"/>
    <x v="0"/>
    <d v="2025-11-27T00:00:00"/>
    <x v="0"/>
    <x v="6"/>
    <x v="2"/>
  </r>
  <r>
    <n v="74"/>
    <d v="2025-02-12T04:26:57"/>
    <x v="3"/>
    <x v="3"/>
    <x v="0"/>
    <d v="2025-02-12T00:00:00"/>
    <x v="21"/>
    <x v="3"/>
    <x v="10"/>
  </r>
  <r>
    <n v="75"/>
    <d v="2025-04-09T15:44:33"/>
    <x v="2"/>
    <x v="3"/>
    <x v="1"/>
    <d v="2025-04-09T00:00:00"/>
    <x v="8"/>
    <x v="3"/>
    <x v="4"/>
  </r>
  <r>
    <n v="76"/>
    <d v="2025-06-09T17:04:56"/>
    <x v="0"/>
    <x v="0"/>
    <x v="1"/>
    <d v="2025-06-09T00:00:00"/>
    <x v="16"/>
    <x v="2"/>
    <x v="1"/>
  </r>
  <r>
    <n v="77"/>
    <d v="2025-03-23T13:51:49"/>
    <x v="2"/>
    <x v="1"/>
    <x v="0"/>
    <d v="2025-03-23T00:00:00"/>
    <x v="19"/>
    <x v="0"/>
    <x v="6"/>
  </r>
  <r>
    <n v="78"/>
    <d v="2025-08-03T15:56:08"/>
    <x v="0"/>
    <x v="1"/>
    <x v="0"/>
    <d v="2025-08-03T00:00:00"/>
    <x v="8"/>
    <x v="0"/>
    <x v="8"/>
  </r>
  <r>
    <n v="79"/>
    <d v="2025-07-23T04:55:31"/>
    <x v="4"/>
    <x v="3"/>
    <x v="1"/>
    <d v="2025-07-23T00:00:00"/>
    <x v="21"/>
    <x v="3"/>
    <x v="9"/>
  </r>
  <r>
    <n v="80"/>
    <d v="2025-10-21T15:59:06"/>
    <x v="1"/>
    <x v="1"/>
    <x v="1"/>
    <d v="2025-10-21T00:00:00"/>
    <x v="8"/>
    <x v="5"/>
    <x v="5"/>
  </r>
  <r>
    <n v="81"/>
    <d v="2025-10-12T03:49:50"/>
    <x v="2"/>
    <x v="0"/>
    <x v="0"/>
    <d v="2025-10-12T00:00:00"/>
    <x v="15"/>
    <x v="0"/>
    <x v="5"/>
  </r>
  <r>
    <n v="82"/>
    <d v="2025-07-30T06:24:20"/>
    <x v="3"/>
    <x v="2"/>
    <x v="0"/>
    <d v="2025-07-30T00:00:00"/>
    <x v="13"/>
    <x v="3"/>
    <x v="9"/>
  </r>
  <r>
    <n v="83"/>
    <d v="2025-09-28T10:57:31"/>
    <x v="2"/>
    <x v="3"/>
    <x v="1"/>
    <d v="2025-09-28T00:00:00"/>
    <x v="6"/>
    <x v="0"/>
    <x v="3"/>
  </r>
  <r>
    <n v="84"/>
    <d v="2025-12-05T20:04:17"/>
    <x v="3"/>
    <x v="0"/>
    <x v="1"/>
    <d v="2025-12-05T00:00:00"/>
    <x v="2"/>
    <x v="4"/>
    <x v="11"/>
  </r>
  <r>
    <n v="85"/>
    <d v="2025-03-16T17:27:16"/>
    <x v="4"/>
    <x v="0"/>
    <x v="0"/>
    <d v="2025-03-16T00:00:00"/>
    <x v="16"/>
    <x v="0"/>
    <x v="6"/>
  </r>
  <r>
    <n v="86"/>
    <d v="2025-04-30T01:57:58"/>
    <x v="4"/>
    <x v="1"/>
    <x v="1"/>
    <d v="2025-04-30T00:00:00"/>
    <x v="0"/>
    <x v="3"/>
    <x v="4"/>
  </r>
  <r>
    <n v="87"/>
    <d v="2025-07-03T04:20:05"/>
    <x v="0"/>
    <x v="2"/>
    <x v="0"/>
    <d v="2025-07-03T00:00:00"/>
    <x v="21"/>
    <x v="6"/>
    <x v="9"/>
  </r>
  <r>
    <n v="88"/>
    <d v="2025-06-21T16:56:24"/>
    <x v="4"/>
    <x v="3"/>
    <x v="1"/>
    <d v="2025-06-21T00:00:00"/>
    <x v="18"/>
    <x v="1"/>
    <x v="1"/>
  </r>
  <r>
    <n v="89"/>
    <d v="2025-08-01T11:36:09"/>
    <x v="4"/>
    <x v="1"/>
    <x v="1"/>
    <d v="2025-08-01T00:00:00"/>
    <x v="22"/>
    <x v="4"/>
    <x v="8"/>
  </r>
  <r>
    <n v="90"/>
    <d v="2025-05-25T05:52:06"/>
    <x v="1"/>
    <x v="0"/>
    <x v="1"/>
    <d v="2025-05-25T00:00:00"/>
    <x v="10"/>
    <x v="0"/>
    <x v="0"/>
  </r>
  <r>
    <n v="91"/>
    <d v="2025-12-22T16:23:12"/>
    <x v="2"/>
    <x v="3"/>
    <x v="0"/>
    <d v="2025-12-22T00:00:00"/>
    <x v="18"/>
    <x v="2"/>
    <x v="11"/>
  </r>
  <r>
    <n v="92"/>
    <d v="2025-08-26T09:01:54"/>
    <x v="1"/>
    <x v="0"/>
    <x v="0"/>
    <d v="2025-08-26T00:00:00"/>
    <x v="7"/>
    <x v="5"/>
    <x v="8"/>
  </r>
  <r>
    <n v="93"/>
    <d v="2025-11-04T00:21:55"/>
    <x v="1"/>
    <x v="0"/>
    <x v="1"/>
    <d v="2025-11-04T00:00:00"/>
    <x v="1"/>
    <x v="5"/>
    <x v="2"/>
  </r>
  <r>
    <n v="94"/>
    <d v="2025-02-21T01:04:45"/>
    <x v="2"/>
    <x v="2"/>
    <x v="1"/>
    <d v="2025-02-21T00:00:00"/>
    <x v="0"/>
    <x v="4"/>
    <x v="10"/>
  </r>
  <r>
    <n v="95"/>
    <d v="2025-10-18T08:46:26"/>
    <x v="4"/>
    <x v="1"/>
    <x v="1"/>
    <d v="2025-10-18T00:00:00"/>
    <x v="20"/>
    <x v="1"/>
    <x v="5"/>
  </r>
  <r>
    <n v="96"/>
    <d v="2025-01-16T04:39:30"/>
    <x v="1"/>
    <x v="2"/>
    <x v="0"/>
    <d v="2025-01-16T00:00:00"/>
    <x v="21"/>
    <x v="6"/>
    <x v="7"/>
  </r>
  <r>
    <n v="97"/>
    <d v="2025-10-30T16:13:00"/>
    <x v="2"/>
    <x v="1"/>
    <x v="0"/>
    <d v="2025-10-30T00:00:00"/>
    <x v="18"/>
    <x v="6"/>
    <x v="5"/>
  </r>
  <r>
    <n v="98"/>
    <d v="2025-02-18T14:17:01"/>
    <x v="0"/>
    <x v="1"/>
    <x v="1"/>
    <d v="2025-02-18T00:00:00"/>
    <x v="11"/>
    <x v="5"/>
    <x v="10"/>
  </r>
  <r>
    <n v="99"/>
    <d v="2025-06-03T09:23:54"/>
    <x v="1"/>
    <x v="1"/>
    <x v="1"/>
    <d v="2025-06-03T00:00:00"/>
    <x v="7"/>
    <x v="5"/>
    <x v="1"/>
  </r>
  <r>
    <n v="100"/>
    <d v="2025-11-24T13:28:50"/>
    <x v="1"/>
    <x v="1"/>
    <x v="1"/>
    <d v="2025-11-24T00:00:00"/>
    <x v="19"/>
    <x v="2"/>
    <x v="2"/>
  </r>
  <r>
    <n v="101"/>
    <d v="2025-01-08T21:16:39"/>
    <x v="3"/>
    <x v="0"/>
    <x v="1"/>
    <d v="2025-01-08T00:00:00"/>
    <x v="17"/>
    <x v="3"/>
    <x v="7"/>
  </r>
  <r>
    <n v="102"/>
    <d v="2025-10-04T10:54:40"/>
    <x v="2"/>
    <x v="0"/>
    <x v="0"/>
    <d v="2025-10-04T00:00:00"/>
    <x v="6"/>
    <x v="1"/>
    <x v="5"/>
  </r>
  <r>
    <n v="103"/>
    <d v="2025-10-24T10:24:58"/>
    <x v="0"/>
    <x v="0"/>
    <x v="1"/>
    <d v="2025-10-24T00:00:00"/>
    <x v="6"/>
    <x v="4"/>
    <x v="5"/>
  </r>
  <r>
    <n v="104"/>
    <d v="2025-12-07T00:03:34"/>
    <x v="2"/>
    <x v="2"/>
    <x v="1"/>
    <d v="2025-12-07T00:00:00"/>
    <x v="1"/>
    <x v="0"/>
    <x v="11"/>
  </r>
  <r>
    <n v="105"/>
    <d v="2025-10-22T08:35:52"/>
    <x v="1"/>
    <x v="3"/>
    <x v="1"/>
    <d v="2025-10-22T00:00:00"/>
    <x v="20"/>
    <x v="3"/>
    <x v="5"/>
  </r>
  <r>
    <n v="106"/>
    <d v="2025-07-02T07:38:24"/>
    <x v="1"/>
    <x v="2"/>
    <x v="1"/>
    <d v="2025-07-02T00:00:00"/>
    <x v="4"/>
    <x v="3"/>
    <x v="9"/>
  </r>
  <r>
    <n v="107"/>
    <d v="2025-05-05T15:00:18"/>
    <x v="2"/>
    <x v="3"/>
    <x v="0"/>
    <d v="2025-05-05T00:00:00"/>
    <x v="8"/>
    <x v="2"/>
    <x v="0"/>
  </r>
  <r>
    <n v="108"/>
    <d v="2025-06-30T01:45:52"/>
    <x v="3"/>
    <x v="0"/>
    <x v="1"/>
    <d v="2025-06-30T00:00:00"/>
    <x v="0"/>
    <x v="2"/>
    <x v="1"/>
  </r>
  <r>
    <n v="109"/>
    <d v="2025-01-04T13:07:08"/>
    <x v="0"/>
    <x v="3"/>
    <x v="1"/>
    <d v="2025-01-04T00:00:00"/>
    <x v="19"/>
    <x v="1"/>
    <x v="7"/>
  </r>
  <r>
    <n v="110"/>
    <d v="2025-12-28T13:48:50"/>
    <x v="2"/>
    <x v="2"/>
    <x v="1"/>
    <d v="2025-12-28T00:00:00"/>
    <x v="19"/>
    <x v="0"/>
    <x v="11"/>
  </r>
  <r>
    <n v="111"/>
    <d v="2025-03-27T14:23:06"/>
    <x v="1"/>
    <x v="3"/>
    <x v="1"/>
    <d v="2025-03-27T00:00:00"/>
    <x v="11"/>
    <x v="6"/>
    <x v="6"/>
  </r>
  <r>
    <n v="112"/>
    <d v="2025-07-19T19:58:55"/>
    <x v="2"/>
    <x v="0"/>
    <x v="1"/>
    <d v="2025-07-19T00:00:00"/>
    <x v="9"/>
    <x v="1"/>
    <x v="9"/>
  </r>
  <r>
    <n v="113"/>
    <d v="2025-08-30T01:04:52"/>
    <x v="1"/>
    <x v="3"/>
    <x v="1"/>
    <d v="2025-08-30T00:00:00"/>
    <x v="0"/>
    <x v="1"/>
    <x v="8"/>
  </r>
  <r>
    <n v="114"/>
    <d v="2025-03-18T03:02:39"/>
    <x v="4"/>
    <x v="2"/>
    <x v="1"/>
    <d v="2025-03-18T00:00:00"/>
    <x v="15"/>
    <x v="5"/>
    <x v="6"/>
  </r>
  <r>
    <n v="115"/>
    <d v="2025-06-11T21:01:01"/>
    <x v="2"/>
    <x v="0"/>
    <x v="0"/>
    <d v="2025-06-11T00:00:00"/>
    <x v="17"/>
    <x v="3"/>
    <x v="1"/>
  </r>
  <r>
    <n v="116"/>
    <d v="2025-07-24T15:14:57"/>
    <x v="1"/>
    <x v="2"/>
    <x v="1"/>
    <d v="2025-07-24T00:00:00"/>
    <x v="8"/>
    <x v="6"/>
    <x v="9"/>
  </r>
  <r>
    <n v="117"/>
    <d v="2025-09-23T06:56:52"/>
    <x v="0"/>
    <x v="0"/>
    <x v="0"/>
    <d v="2025-09-23T00:00:00"/>
    <x v="13"/>
    <x v="5"/>
    <x v="3"/>
  </r>
  <r>
    <n v="118"/>
    <d v="2025-04-28T16:25:15"/>
    <x v="3"/>
    <x v="2"/>
    <x v="1"/>
    <d v="2025-04-28T00:00:00"/>
    <x v="18"/>
    <x v="2"/>
    <x v="4"/>
  </r>
  <r>
    <n v="119"/>
    <d v="2025-08-02T02:42:22"/>
    <x v="4"/>
    <x v="1"/>
    <x v="1"/>
    <d v="2025-08-02T00:00:00"/>
    <x v="12"/>
    <x v="1"/>
    <x v="8"/>
  </r>
  <r>
    <n v="120"/>
    <d v="2025-12-05T17:34:17"/>
    <x v="3"/>
    <x v="3"/>
    <x v="0"/>
    <d v="2025-12-05T00:00:00"/>
    <x v="16"/>
    <x v="4"/>
    <x v="11"/>
  </r>
  <r>
    <n v="121"/>
    <d v="2025-07-11T15:46:31"/>
    <x v="4"/>
    <x v="3"/>
    <x v="1"/>
    <d v="2025-07-11T00:00:00"/>
    <x v="8"/>
    <x v="4"/>
    <x v="9"/>
  </r>
  <r>
    <n v="122"/>
    <d v="2025-03-11T03:47:11"/>
    <x v="1"/>
    <x v="3"/>
    <x v="1"/>
    <d v="2025-03-11T00:00:00"/>
    <x v="15"/>
    <x v="5"/>
    <x v="6"/>
  </r>
  <r>
    <n v="123"/>
    <d v="2025-10-14T12:53:12"/>
    <x v="0"/>
    <x v="1"/>
    <x v="1"/>
    <d v="2025-10-14T00:00:00"/>
    <x v="23"/>
    <x v="5"/>
    <x v="5"/>
  </r>
  <r>
    <n v="124"/>
    <d v="2025-05-28T22:55:16"/>
    <x v="3"/>
    <x v="1"/>
    <x v="1"/>
    <d v="2025-05-28T00:00:00"/>
    <x v="14"/>
    <x v="3"/>
    <x v="0"/>
  </r>
  <r>
    <n v="125"/>
    <d v="2025-09-05T12:57:37"/>
    <x v="0"/>
    <x v="2"/>
    <x v="1"/>
    <d v="2025-09-05T00:00:00"/>
    <x v="23"/>
    <x v="4"/>
    <x v="3"/>
  </r>
  <r>
    <n v="126"/>
    <d v="2025-05-27T07:47:17"/>
    <x v="0"/>
    <x v="2"/>
    <x v="1"/>
    <d v="2025-05-27T00:00:00"/>
    <x v="4"/>
    <x v="5"/>
    <x v="0"/>
  </r>
  <r>
    <n v="127"/>
    <d v="2025-02-19T22:42:38"/>
    <x v="2"/>
    <x v="2"/>
    <x v="0"/>
    <d v="2025-02-19T00:00:00"/>
    <x v="14"/>
    <x v="3"/>
    <x v="10"/>
  </r>
  <r>
    <n v="128"/>
    <d v="2025-06-02T12:39:25"/>
    <x v="3"/>
    <x v="1"/>
    <x v="0"/>
    <d v="2025-06-02T00:00:00"/>
    <x v="23"/>
    <x v="2"/>
    <x v="1"/>
  </r>
  <r>
    <n v="129"/>
    <d v="2025-05-15T23:17:35"/>
    <x v="4"/>
    <x v="0"/>
    <x v="1"/>
    <d v="2025-05-15T00:00:00"/>
    <x v="5"/>
    <x v="6"/>
    <x v="0"/>
  </r>
  <r>
    <n v="130"/>
    <d v="2025-03-10T15:34:52"/>
    <x v="0"/>
    <x v="0"/>
    <x v="1"/>
    <d v="2025-03-10T00:00:00"/>
    <x v="8"/>
    <x v="2"/>
    <x v="6"/>
  </r>
  <r>
    <n v="131"/>
    <d v="2025-12-25T22:58:02"/>
    <x v="2"/>
    <x v="1"/>
    <x v="0"/>
    <d v="2025-12-25T00:00:00"/>
    <x v="14"/>
    <x v="6"/>
    <x v="11"/>
  </r>
  <r>
    <n v="132"/>
    <d v="2025-12-14T02:45:31"/>
    <x v="3"/>
    <x v="2"/>
    <x v="0"/>
    <d v="2025-12-14T00:00:00"/>
    <x v="12"/>
    <x v="0"/>
    <x v="11"/>
  </r>
  <r>
    <n v="133"/>
    <d v="2025-10-05T17:24:53"/>
    <x v="0"/>
    <x v="1"/>
    <x v="0"/>
    <d v="2025-10-05T00:00:00"/>
    <x v="16"/>
    <x v="0"/>
    <x v="5"/>
  </r>
  <r>
    <n v="134"/>
    <d v="2025-12-09T13:54:06"/>
    <x v="2"/>
    <x v="1"/>
    <x v="1"/>
    <d v="2025-12-09T00:00:00"/>
    <x v="19"/>
    <x v="5"/>
    <x v="11"/>
  </r>
  <r>
    <n v="135"/>
    <d v="2025-05-25T00:24:53"/>
    <x v="3"/>
    <x v="0"/>
    <x v="1"/>
    <d v="2025-05-25T00:00:00"/>
    <x v="1"/>
    <x v="0"/>
    <x v="0"/>
  </r>
  <r>
    <n v="136"/>
    <d v="2025-09-05T05:14:56"/>
    <x v="0"/>
    <x v="1"/>
    <x v="1"/>
    <d v="2025-09-05T00:00:00"/>
    <x v="10"/>
    <x v="4"/>
    <x v="3"/>
  </r>
  <r>
    <n v="137"/>
    <d v="2025-03-30T06:14:47"/>
    <x v="2"/>
    <x v="1"/>
    <x v="1"/>
    <d v="2025-03-30T00:00:00"/>
    <x v="13"/>
    <x v="0"/>
    <x v="6"/>
  </r>
  <r>
    <n v="138"/>
    <d v="2025-03-07T11:35:43"/>
    <x v="1"/>
    <x v="3"/>
    <x v="1"/>
    <d v="2025-03-07T00:00:00"/>
    <x v="22"/>
    <x v="4"/>
    <x v="6"/>
  </r>
  <r>
    <n v="139"/>
    <d v="2025-02-09T00:03:21"/>
    <x v="0"/>
    <x v="2"/>
    <x v="0"/>
    <d v="2025-02-09T00:00:00"/>
    <x v="1"/>
    <x v="0"/>
    <x v="10"/>
  </r>
  <r>
    <n v="140"/>
    <d v="2025-04-18T04:12:04"/>
    <x v="4"/>
    <x v="2"/>
    <x v="1"/>
    <d v="2025-04-18T00:00:00"/>
    <x v="21"/>
    <x v="4"/>
    <x v="4"/>
  </r>
  <r>
    <n v="141"/>
    <d v="2025-09-25T20:35:32"/>
    <x v="0"/>
    <x v="2"/>
    <x v="1"/>
    <d v="2025-09-25T00:00:00"/>
    <x v="2"/>
    <x v="6"/>
    <x v="3"/>
  </r>
  <r>
    <n v="142"/>
    <d v="2025-01-05T20:55:36"/>
    <x v="2"/>
    <x v="2"/>
    <x v="0"/>
    <d v="2025-01-05T00:00:00"/>
    <x v="2"/>
    <x v="0"/>
    <x v="7"/>
  </r>
  <r>
    <n v="143"/>
    <d v="2025-03-04T20:25:49"/>
    <x v="3"/>
    <x v="1"/>
    <x v="1"/>
    <d v="2025-03-04T00:00:00"/>
    <x v="2"/>
    <x v="5"/>
    <x v="6"/>
  </r>
  <r>
    <n v="144"/>
    <d v="2025-10-24T18:49:20"/>
    <x v="1"/>
    <x v="2"/>
    <x v="1"/>
    <d v="2025-10-24T00:00:00"/>
    <x v="3"/>
    <x v="4"/>
    <x v="5"/>
  </r>
  <r>
    <n v="145"/>
    <d v="2025-08-24T20:56:21"/>
    <x v="2"/>
    <x v="3"/>
    <x v="0"/>
    <d v="2025-08-24T00:00:00"/>
    <x v="2"/>
    <x v="0"/>
    <x v="8"/>
  </r>
  <r>
    <n v="146"/>
    <d v="2025-10-16T06:38:03"/>
    <x v="0"/>
    <x v="0"/>
    <x v="1"/>
    <d v="2025-10-16T00:00:00"/>
    <x v="13"/>
    <x v="6"/>
    <x v="5"/>
  </r>
  <r>
    <n v="147"/>
    <d v="2025-04-08T07:38:39"/>
    <x v="2"/>
    <x v="0"/>
    <x v="1"/>
    <d v="2025-04-08T00:00:00"/>
    <x v="4"/>
    <x v="5"/>
    <x v="4"/>
  </r>
  <r>
    <n v="148"/>
    <d v="2025-09-13T20:02:26"/>
    <x v="1"/>
    <x v="2"/>
    <x v="0"/>
    <d v="2025-09-13T00:00:00"/>
    <x v="2"/>
    <x v="1"/>
    <x v="3"/>
  </r>
  <r>
    <n v="149"/>
    <d v="2025-04-30T15:30:45"/>
    <x v="0"/>
    <x v="1"/>
    <x v="0"/>
    <d v="2025-04-30T00:00:00"/>
    <x v="8"/>
    <x v="3"/>
    <x v="4"/>
  </r>
  <r>
    <n v="150"/>
    <d v="2025-01-31T23:44:10"/>
    <x v="0"/>
    <x v="3"/>
    <x v="1"/>
    <d v="2025-01-31T00:00:00"/>
    <x v="5"/>
    <x v="4"/>
    <x v="7"/>
  </r>
  <r>
    <n v="151"/>
    <d v="2025-12-20T03:10:17"/>
    <x v="3"/>
    <x v="3"/>
    <x v="1"/>
    <d v="2025-12-20T00:00:00"/>
    <x v="15"/>
    <x v="1"/>
    <x v="11"/>
  </r>
  <r>
    <n v="152"/>
    <d v="2025-01-20T08:12:19"/>
    <x v="1"/>
    <x v="1"/>
    <x v="1"/>
    <d v="2025-01-20T00:00:00"/>
    <x v="20"/>
    <x v="2"/>
    <x v="7"/>
  </r>
  <r>
    <n v="153"/>
    <d v="2025-03-08T00:42:11"/>
    <x v="4"/>
    <x v="0"/>
    <x v="0"/>
    <d v="2025-03-08T00:00:00"/>
    <x v="1"/>
    <x v="1"/>
    <x v="6"/>
  </r>
  <r>
    <n v="154"/>
    <d v="2025-03-11T03:13:26"/>
    <x v="2"/>
    <x v="3"/>
    <x v="1"/>
    <d v="2025-03-11T00:00:00"/>
    <x v="15"/>
    <x v="5"/>
    <x v="6"/>
  </r>
  <r>
    <n v="155"/>
    <d v="2025-09-23T07:50:30"/>
    <x v="0"/>
    <x v="0"/>
    <x v="0"/>
    <d v="2025-09-23T00:00:00"/>
    <x v="4"/>
    <x v="5"/>
    <x v="3"/>
  </r>
  <r>
    <n v="156"/>
    <d v="2025-05-20T04:00:29"/>
    <x v="2"/>
    <x v="1"/>
    <x v="1"/>
    <d v="2025-05-20T00:00:00"/>
    <x v="21"/>
    <x v="5"/>
    <x v="0"/>
  </r>
  <r>
    <n v="157"/>
    <d v="2025-12-12T16:57:37"/>
    <x v="3"/>
    <x v="0"/>
    <x v="1"/>
    <d v="2025-12-12T00:00:00"/>
    <x v="18"/>
    <x v="4"/>
    <x v="11"/>
  </r>
  <r>
    <n v="158"/>
    <d v="2025-09-05T23:21:21"/>
    <x v="4"/>
    <x v="0"/>
    <x v="1"/>
    <d v="2025-09-05T00:00:00"/>
    <x v="5"/>
    <x v="4"/>
    <x v="3"/>
  </r>
  <r>
    <n v="159"/>
    <d v="2025-07-17T21:59:30"/>
    <x v="1"/>
    <x v="2"/>
    <x v="0"/>
    <d v="2025-07-17T00:00:00"/>
    <x v="17"/>
    <x v="6"/>
    <x v="9"/>
  </r>
  <r>
    <n v="160"/>
    <d v="2025-04-03T23:15:17"/>
    <x v="2"/>
    <x v="2"/>
    <x v="0"/>
    <d v="2025-04-03T00:00:00"/>
    <x v="5"/>
    <x v="6"/>
    <x v="4"/>
  </r>
  <r>
    <n v="161"/>
    <d v="2025-07-01T05:51:06"/>
    <x v="3"/>
    <x v="2"/>
    <x v="0"/>
    <d v="2025-07-01T00:00:00"/>
    <x v="10"/>
    <x v="5"/>
    <x v="9"/>
  </r>
  <r>
    <n v="162"/>
    <d v="2025-10-21T17:29:31"/>
    <x v="4"/>
    <x v="1"/>
    <x v="1"/>
    <d v="2025-10-21T00:00:00"/>
    <x v="16"/>
    <x v="5"/>
    <x v="5"/>
  </r>
  <r>
    <n v="163"/>
    <d v="2025-04-28T03:21:04"/>
    <x v="0"/>
    <x v="1"/>
    <x v="0"/>
    <d v="2025-04-28T00:00:00"/>
    <x v="15"/>
    <x v="2"/>
    <x v="4"/>
  </r>
  <r>
    <n v="164"/>
    <d v="2025-04-27T10:40:57"/>
    <x v="4"/>
    <x v="2"/>
    <x v="1"/>
    <d v="2025-04-27T00:00:00"/>
    <x v="6"/>
    <x v="0"/>
    <x v="4"/>
  </r>
  <r>
    <n v="165"/>
    <d v="2025-08-31T20:02:35"/>
    <x v="0"/>
    <x v="2"/>
    <x v="0"/>
    <d v="2025-08-31T00:00:00"/>
    <x v="2"/>
    <x v="0"/>
    <x v="8"/>
  </r>
  <r>
    <n v="166"/>
    <d v="2025-08-10T12:53:25"/>
    <x v="3"/>
    <x v="3"/>
    <x v="1"/>
    <d v="2025-08-10T00:00:00"/>
    <x v="23"/>
    <x v="0"/>
    <x v="8"/>
  </r>
  <r>
    <n v="167"/>
    <d v="2025-10-13T05:00:43"/>
    <x v="1"/>
    <x v="2"/>
    <x v="1"/>
    <d v="2025-10-13T00:00:00"/>
    <x v="10"/>
    <x v="2"/>
    <x v="5"/>
  </r>
  <r>
    <n v="168"/>
    <d v="2025-01-06T02:50:28"/>
    <x v="0"/>
    <x v="0"/>
    <x v="1"/>
    <d v="2025-01-06T00:00:00"/>
    <x v="12"/>
    <x v="2"/>
    <x v="7"/>
  </r>
  <r>
    <n v="169"/>
    <d v="2025-12-21T02:49:12"/>
    <x v="2"/>
    <x v="1"/>
    <x v="0"/>
    <d v="2025-12-21T00:00:00"/>
    <x v="12"/>
    <x v="0"/>
    <x v="11"/>
  </r>
  <r>
    <n v="170"/>
    <d v="2025-08-06T04:38:42"/>
    <x v="2"/>
    <x v="0"/>
    <x v="0"/>
    <d v="2025-08-06T00:00:00"/>
    <x v="21"/>
    <x v="3"/>
    <x v="8"/>
  </r>
  <r>
    <n v="171"/>
    <d v="2025-07-03T00:16:17"/>
    <x v="2"/>
    <x v="2"/>
    <x v="1"/>
    <d v="2025-07-03T00:00:00"/>
    <x v="1"/>
    <x v="6"/>
    <x v="9"/>
  </r>
  <r>
    <n v="172"/>
    <d v="2025-12-30T07:00:12"/>
    <x v="1"/>
    <x v="0"/>
    <x v="1"/>
    <d v="2025-12-30T00:00:00"/>
    <x v="4"/>
    <x v="5"/>
    <x v="11"/>
  </r>
  <r>
    <n v="173"/>
    <d v="2025-11-03T01:09:03"/>
    <x v="0"/>
    <x v="3"/>
    <x v="1"/>
    <d v="2025-11-03T00:00:00"/>
    <x v="0"/>
    <x v="2"/>
    <x v="2"/>
  </r>
  <r>
    <n v="174"/>
    <d v="2025-10-29T05:11:44"/>
    <x v="4"/>
    <x v="0"/>
    <x v="1"/>
    <d v="2025-10-29T00:00:00"/>
    <x v="10"/>
    <x v="3"/>
    <x v="5"/>
  </r>
  <r>
    <n v="175"/>
    <d v="2025-06-26T23:14:03"/>
    <x v="1"/>
    <x v="1"/>
    <x v="1"/>
    <d v="2025-06-26T00:00:00"/>
    <x v="5"/>
    <x v="6"/>
    <x v="1"/>
  </r>
  <r>
    <n v="176"/>
    <d v="2025-06-22T07:31:08"/>
    <x v="3"/>
    <x v="2"/>
    <x v="1"/>
    <d v="2025-06-22T00:00:00"/>
    <x v="4"/>
    <x v="0"/>
    <x v="1"/>
  </r>
  <r>
    <n v="177"/>
    <d v="2025-02-03T20:27:30"/>
    <x v="1"/>
    <x v="1"/>
    <x v="0"/>
    <d v="2025-02-03T00:00:00"/>
    <x v="2"/>
    <x v="2"/>
    <x v="10"/>
  </r>
  <r>
    <n v="178"/>
    <d v="2025-05-05T11:47:11"/>
    <x v="0"/>
    <x v="1"/>
    <x v="1"/>
    <d v="2025-05-05T00:00:00"/>
    <x v="22"/>
    <x v="2"/>
    <x v="0"/>
  </r>
  <r>
    <n v="179"/>
    <d v="2025-07-09T02:10:39"/>
    <x v="4"/>
    <x v="0"/>
    <x v="1"/>
    <d v="2025-07-09T00:00:00"/>
    <x v="12"/>
    <x v="3"/>
    <x v="9"/>
  </r>
  <r>
    <n v="180"/>
    <d v="2025-06-15T18:54:39"/>
    <x v="4"/>
    <x v="0"/>
    <x v="0"/>
    <d v="2025-06-15T00:00:00"/>
    <x v="3"/>
    <x v="0"/>
    <x v="1"/>
  </r>
  <r>
    <n v="181"/>
    <d v="2025-11-21T13:33:42"/>
    <x v="0"/>
    <x v="1"/>
    <x v="1"/>
    <d v="2025-11-21T00:00:00"/>
    <x v="19"/>
    <x v="4"/>
    <x v="2"/>
  </r>
  <r>
    <n v="182"/>
    <d v="2025-12-18T18:41:08"/>
    <x v="2"/>
    <x v="3"/>
    <x v="0"/>
    <d v="2025-12-18T00:00:00"/>
    <x v="3"/>
    <x v="6"/>
    <x v="11"/>
  </r>
  <r>
    <n v="183"/>
    <d v="2025-01-26T01:19:47"/>
    <x v="4"/>
    <x v="2"/>
    <x v="1"/>
    <d v="2025-01-26T00:00:00"/>
    <x v="0"/>
    <x v="0"/>
    <x v="7"/>
  </r>
  <r>
    <n v="184"/>
    <d v="2025-09-11T08:56:12"/>
    <x v="0"/>
    <x v="3"/>
    <x v="1"/>
    <d v="2025-09-11T00:00:00"/>
    <x v="20"/>
    <x v="6"/>
    <x v="3"/>
  </r>
  <r>
    <n v="185"/>
    <d v="2025-11-04T22:58:06"/>
    <x v="3"/>
    <x v="2"/>
    <x v="0"/>
    <d v="2025-11-04T00:00:00"/>
    <x v="14"/>
    <x v="5"/>
    <x v="2"/>
  </r>
  <r>
    <n v="186"/>
    <d v="2025-05-20T09:26:30"/>
    <x v="2"/>
    <x v="1"/>
    <x v="1"/>
    <d v="2025-05-20T00:00:00"/>
    <x v="7"/>
    <x v="5"/>
    <x v="0"/>
  </r>
  <r>
    <n v="187"/>
    <d v="2025-12-18T06:11:15"/>
    <x v="1"/>
    <x v="3"/>
    <x v="0"/>
    <d v="2025-12-18T00:00:00"/>
    <x v="13"/>
    <x v="6"/>
    <x v="11"/>
  </r>
  <r>
    <n v="188"/>
    <d v="2025-01-08T21:42:01"/>
    <x v="4"/>
    <x v="1"/>
    <x v="0"/>
    <d v="2025-01-08T00:00:00"/>
    <x v="17"/>
    <x v="3"/>
    <x v="7"/>
  </r>
  <r>
    <n v="189"/>
    <d v="2025-08-03T18:08:18"/>
    <x v="3"/>
    <x v="3"/>
    <x v="0"/>
    <d v="2025-08-03T00:00:00"/>
    <x v="3"/>
    <x v="0"/>
    <x v="8"/>
  </r>
  <r>
    <n v="190"/>
    <d v="2025-11-22T07:20:49"/>
    <x v="0"/>
    <x v="0"/>
    <x v="1"/>
    <d v="2025-11-22T00:00:00"/>
    <x v="4"/>
    <x v="1"/>
    <x v="2"/>
  </r>
  <r>
    <n v="191"/>
    <d v="2025-02-08T10:25:27"/>
    <x v="1"/>
    <x v="0"/>
    <x v="1"/>
    <d v="2025-02-08T00:00:00"/>
    <x v="6"/>
    <x v="1"/>
    <x v="10"/>
  </r>
  <r>
    <n v="192"/>
    <d v="2025-07-09T22:13:37"/>
    <x v="4"/>
    <x v="0"/>
    <x v="1"/>
    <d v="2025-07-09T00:00:00"/>
    <x v="14"/>
    <x v="3"/>
    <x v="9"/>
  </r>
  <r>
    <n v="193"/>
    <d v="2025-12-06T22:15:36"/>
    <x v="3"/>
    <x v="0"/>
    <x v="0"/>
    <d v="2025-12-06T00:00:00"/>
    <x v="14"/>
    <x v="1"/>
    <x v="11"/>
  </r>
  <r>
    <n v="194"/>
    <d v="2025-10-20T01:53:00"/>
    <x v="1"/>
    <x v="1"/>
    <x v="0"/>
    <d v="2025-10-20T00:00:00"/>
    <x v="0"/>
    <x v="2"/>
    <x v="5"/>
  </r>
  <r>
    <n v="195"/>
    <d v="2025-01-08T06:56:32"/>
    <x v="4"/>
    <x v="3"/>
    <x v="1"/>
    <d v="2025-01-08T00:00:00"/>
    <x v="13"/>
    <x v="3"/>
    <x v="7"/>
  </r>
  <r>
    <n v="196"/>
    <d v="2025-09-26T06:56:23"/>
    <x v="2"/>
    <x v="1"/>
    <x v="1"/>
    <d v="2025-09-26T00:00:00"/>
    <x v="13"/>
    <x v="4"/>
    <x v="3"/>
  </r>
  <r>
    <n v="197"/>
    <d v="2025-05-30T14:13:25"/>
    <x v="1"/>
    <x v="1"/>
    <x v="1"/>
    <d v="2025-05-30T00:00:00"/>
    <x v="11"/>
    <x v="4"/>
    <x v="0"/>
  </r>
  <r>
    <n v="198"/>
    <d v="2025-09-02T06:18:33"/>
    <x v="0"/>
    <x v="2"/>
    <x v="0"/>
    <d v="2025-09-02T00:00:00"/>
    <x v="13"/>
    <x v="5"/>
    <x v="3"/>
  </r>
  <r>
    <n v="199"/>
    <d v="2025-08-25T05:52:02"/>
    <x v="1"/>
    <x v="3"/>
    <x v="1"/>
    <d v="2025-08-25T00:00:00"/>
    <x v="10"/>
    <x v="2"/>
    <x v="8"/>
  </r>
  <r>
    <n v="200"/>
    <d v="2025-05-21T22:19:45"/>
    <x v="4"/>
    <x v="0"/>
    <x v="0"/>
    <d v="2025-05-21T00:00:00"/>
    <x v="14"/>
    <x v="3"/>
    <x v="0"/>
  </r>
  <r>
    <n v="201"/>
    <d v="2025-03-17T09:40:21"/>
    <x v="4"/>
    <x v="0"/>
    <x v="1"/>
    <d v="2025-03-17T00:00:00"/>
    <x v="7"/>
    <x v="2"/>
    <x v="6"/>
  </r>
  <r>
    <n v="202"/>
    <d v="2025-03-22T09:52:24"/>
    <x v="3"/>
    <x v="2"/>
    <x v="1"/>
    <d v="2025-03-22T00:00:00"/>
    <x v="7"/>
    <x v="1"/>
    <x v="6"/>
  </r>
  <r>
    <n v="203"/>
    <d v="2025-02-14T12:36:52"/>
    <x v="2"/>
    <x v="3"/>
    <x v="0"/>
    <d v="2025-02-14T00:00:00"/>
    <x v="23"/>
    <x v="4"/>
    <x v="10"/>
  </r>
  <r>
    <n v="204"/>
    <d v="2025-07-04T18:53:03"/>
    <x v="0"/>
    <x v="2"/>
    <x v="1"/>
    <d v="2025-07-04T00:00:00"/>
    <x v="3"/>
    <x v="4"/>
    <x v="9"/>
  </r>
  <r>
    <n v="205"/>
    <d v="2025-01-11T21:36:20"/>
    <x v="3"/>
    <x v="1"/>
    <x v="0"/>
    <d v="2025-01-11T00:00:00"/>
    <x v="17"/>
    <x v="1"/>
    <x v="7"/>
  </r>
  <r>
    <n v="206"/>
    <d v="2025-03-12T18:55:46"/>
    <x v="1"/>
    <x v="2"/>
    <x v="1"/>
    <d v="2025-03-12T00:00:00"/>
    <x v="3"/>
    <x v="3"/>
    <x v="6"/>
  </r>
  <r>
    <n v="207"/>
    <d v="2025-03-12T03:13:24"/>
    <x v="0"/>
    <x v="3"/>
    <x v="1"/>
    <d v="2025-03-12T00:00:00"/>
    <x v="15"/>
    <x v="3"/>
    <x v="6"/>
  </r>
  <r>
    <n v="208"/>
    <d v="2025-06-11T17:04:42"/>
    <x v="3"/>
    <x v="2"/>
    <x v="1"/>
    <d v="2025-06-11T00:00:00"/>
    <x v="16"/>
    <x v="3"/>
    <x v="1"/>
  </r>
  <r>
    <n v="209"/>
    <d v="2025-02-09T04:22:38"/>
    <x v="3"/>
    <x v="2"/>
    <x v="1"/>
    <d v="2025-02-09T00:00:00"/>
    <x v="21"/>
    <x v="0"/>
    <x v="10"/>
  </r>
  <r>
    <n v="210"/>
    <d v="2025-02-27T07:50:07"/>
    <x v="0"/>
    <x v="2"/>
    <x v="0"/>
    <d v="2025-02-27T00:00:00"/>
    <x v="4"/>
    <x v="6"/>
    <x v="10"/>
  </r>
  <r>
    <n v="211"/>
    <d v="2025-05-19T04:20:15"/>
    <x v="1"/>
    <x v="2"/>
    <x v="1"/>
    <d v="2025-05-19T00:00:00"/>
    <x v="21"/>
    <x v="2"/>
    <x v="0"/>
  </r>
  <r>
    <n v="212"/>
    <d v="2025-11-13T04:45:26"/>
    <x v="0"/>
    <x v="1"/>
    <x v="0"/>
    <d v="2025-11-13T00:00:00"/>
    <x v="21"/>
    <x v="6"/>
    <x v="2"/>
  </r>
  <r>
    <n v="213"/>
    <d v="2025-01-12T07:49:51"/>
    <x v="4"/>
    <x v="2"/>
    <x v="0"/>
    <d v="2025-01-12T00:00:00"/>
    <x v="4"/>
    <x v="0"/>
    <x v="7"/>
  </r>
  <r>
    <n v="214"/>
    <d v="2025-12-05T00:27:37"/>
    <x v="3"/>
    <x v="0"/>
    <x v="1"/>
    <d v="2025-12-05T00:00:00"/>
    <x v="1"/>
    <x v="4"/>
    <x v="11"/>
  </r>
  <r>
    <n v="215"/>
    <d v="2025-12-07T09:47:32"/>
    <x v="3"/>
    <x v="1"/>
    <x v="1"/>
    <d v="2025-12-07T00:00:00"/>
    <x v="7"/>
    <x v="0"/>
    <x v="11"/>
  </r>
  <r>
    <n v="216"/>
    <d v="2025-07-30T03:37:21"/>
    <x v="1"/>
    <x v="2"/>
    <x v="0"/>
    <d v="2025-07-30T00:00:00"/>
    <x v="15"/>
    <x v="3"/>
    <x v="9"/>
  </r>
  <r>
    <n v="217"/>
    <d v="2025-07-14T04:07:32"/>
    <x v="1"/>
    <x v="2"/>
    <x v="1"/>
    <d v="2025-07-14T00:00:00"/>
    <x v="21"/>
    <x v="2"/>
    <x v="9"/>
  </r>
  <r>
    <n v="218"/>
    <d v="2025-06-25T12:52:00"/>
    <x v="4"/>
    <x v="3"/>
    <x v="0"/>
    <d v="2025-06-25T00:00:00"/>
    <x v="23"/>
    <x v="3"/>
    <x v="1"/>
  </r>
  <r>
    <n v="219"/>
    <d v="2025-12-13T17:58:11"/>
    <x v="0"/>
    <x v="0"/>
    <x v="0"/>
    <d v="2025-12-13T00:00:00"/>
    <x v="16"/>
    <x v="1"/>
    <x v="11"/>
  </r>
  <r>
    <n v="220"/>
    <d v="2025-02-07T00:49:22"/>
    <x v="1"/>
    <x v="2"/>
    <x v="1"/>
    <d v="2025-02-07T00:00:00"/>
    <x v="1"/>
    <x v="4"/>
    <x v="10"/>
  </r>
  <r>
    <n v="221"/>
    <d v="2025-08-06T22:24:14"/>
    <x v="0"/>
    <x v="1"/>
    <x v="1"/>
    <d v="2025-08-06T00:00:00"/>
    <x v="14"/>
    <x v="3"/>
    <x v="8"/>
  </r>
  <r>
    <n v="222"/>
    <d v="2025-11-04T03:19:46"/>
    <x v="4"/>
    <x v="0"/>
    <x v="1"/>
    <d v="2025-11-04T00:00:00"/>
    <x v="15"/>
    <x v="5"/>
    <x v="2"/>
  </r>
  <r>
    <n v="223"/>
    <d v="2025-02-05T06:02:49"/>
    <x v="4"/>
    <x v="1"/>
    <x v="1"/>
    <d v="2025-02-05T00:00:00"/>
    <x v="13"/>
    <x v="3"/>
    <x v="10"/>
  </r>
  <r>
    <n v="224"/>
    <d v="2025-10-16T22:25:47"/>
    <x v="3"/>
    <x v="3"/>
    <x v="1"/>
    <d v="2025-10-16T00:00:00"/>
    <x v="14"/>
    <x v="6"/>
    <x v="5"/>
  </r>
  <r>
    <n v="225"/>
    <d v="2025-11-02T22:24:38"/>
    <x v="4"/>
    <x v="3"/>
    <x v="1"/>
    <d v="2025-11-02T00:00:00"/>
    <x v="14"/>
    <x v="0"/>
    <x v="2"/>
  </r>
  <r>
    <n v="226"/>
    <d v="2025-04-25T12:18:44"/>
    <x v="4"/>
    <x v="1"/>
    <x v="0"/>
    <d v="2025-04-25T00:00:00"/>
    <x v="23"/>
    <x v="4"/>
    <x v="4"/>
  </r>
  <r>
    <n v="227"/>
    <d v="2025-02-26T11:56:27"/>
    <x v="0"/>
    <x v="3"/>
    <x v="0"/>
    <d v="2025-02-26T00:00:00"/>
    <x v="22"/>
    <x v="3"/>
    <x v="10"/>
  </r>
  <r>
    <n v="228"/>
    <d v="2025-08-03T21:04:06"/>
    <x v="3"/>
    <x v="2"/>
    <x v="0"/>
    <d v="2025-08-03T00:00:00"/>
    <x v="17"/>
    <x v="0"/>
    <x v="8"/>
  </r>
  <r>
    <n v="229"/>
    <d v="2025-09-18T05:56:23"/>
    <x v="2"/>
    <x v="3"/>
    <x v="0"/>
    <d v="2025-09-18T00:00:00"/>
    <x v="10"/>
    <x v="6"/>
    <x v="3"/>
  </r>
  <r>
    <n v="230"/>
    <d v="2025-01-21T12:08:55"/>
    <x v="2"/>
    <x v="2"/>
    <x v="1"/>
    <d v="2025-01-21T00:00:00"/>
    <x v="23"/>
    <x v="5"/>
    <x v="7"/>
  </r>
  <r>
    <n v="231"/>
    <d v="2025-11-02T21:11:54"/>
    <x v="0"/>
    <x v="1"/>
    <x v="1"/>
    <d v="2025-11-02T00:00:00"/>
    <x v="17"/>
    <x v="0"/>
    <x v="2"/>
  </r>
  <r>
    <n v="232"/>
    <d v="2025-08-27T15:41:28"/>
    <x v="3"/>
    <x v="2"/>
    <x v="0"/>
    <d v="2025-08-27T00:00:00"/>
    <x v="8"/>
    <x v="3"/>
    <x v="8"/>
  </r>
  <r>
    <n v="233"/>
    <d v="2025-02-15T00:41:09"/>
    <x v="0"/>
    <x v="2"/>
    <x v="0"/>
    <d v="2025-02-15T00:00:00"/>
    <x v="1"/>
    <x v="1"/>
    <x v="10"/>
  </r>
  <r>
    <n v="234"/>
    <d v="2025-07-18T16:32:45"/>
    <x v="1"/>
    <x v="3"/>
    <x v="1"/>
    <d v="2025-07-18T00:00:00"/>
    <x v="18"/>
    <x v="4"/>
    <x v="9"/>
  </r>
  <r>
    <n v="235"/>
    <d v="2025-11-13T23:38:46"/>
    <x v="3"/>
    <x v="3"/>
    <x v="0"/>
    <d v="2025-11-13T00:00:00"/>
    <x v="5"/>
    <x v="6"/>
    <x v="2"/>
  </r>
  <r>
    <n v="236"/>
    <d v="2025-11-12T20:41:14"/>
    <x v="1"/>
    <x v="1"/>
    <x v="0"/>
    <d v="2025-11-12T00:00:00"/>
    <x v="2"/>
    <x v="3"/>
    <x v="2"/>
  </r>
  <r>
    <n v="237"/>
    <d v="2025-07-30T18:33:34"/>
    <x v="3"/>
    <x v="3"/>
    <x v="1"/>
    <d v="2025-07-30T00:00:00"/>
    <x v="3"/>
    <x v="3"/>
    <x v="9"/>
  </r>
  <r>
    <n v="238"/>
    <d v="2025-08-24T21:42:39"/>
    <x v="2"/>
    <x v="3"/>
    <x v="0"/>
    <d v="2025-08-24T00:00:00"/>
    <x v="17"/>
    <x v="0"/>
    <x v="8"/>
  </r>
  <r>
    <n v="239"/>
    <d v="2025-03-24T04:19:44"/>
    <x v="4"/>
    <x v="2"/>
    <x v="1"/>
    <d v="2025-03-24T00:00:00"/>
    <x v="21"/>
    <x v="2"/>
    <x v="6"/>
  </r>
  <r>
    <n v="240"/>
    <d v="2025-07-19T12:51:16"/>
    <x v="2"/>
    <x v="3"/>
    <x v="1"/>
    <d v="2025-07-19T00:00:00"/>
    <x v="23"/>
    <x v="1"/>
    <x v="9"/>
  </r>
  <r>
    <n v="241"/>
    <d v="2025-02-18T03:43:28"/>
    <x v="1"/>
    <x v="0"/>
    <x v="1"/>
    <d v="2025-02-18T00:00:00"/>
    <x v="15"/>
    <x v="5"/>
    <x v="10"/>
  </r>
  <r>
    <n v="242"/>
    <d v="2025-05-28T04:51:57"/>
    <x v="3"/>
    <x v="1"/>
    <x v="1"/>
    <d v="2025-05-28T00:00:00"/>
    <x v="21"/>
    <x v="3"/>
    <x v="0"/>
  </r>
  <r>
    <n v="243"/>
    <d v="2025-07-16T03:43:35"/>
    <x v="1"/>
    <x v="1"/>
    <x v="0"/>
    <d v="2025-07-16T00:00:00"/>
    <x v="15"/>
    <x v="3"/>
    <x v="9"/>
  </r>
  <r>
    <n v="244"/>
    <d v="2025-06-20T18:59:53"/>
    <x v="2"/>
    <x v="3"/>
    <x v="1"/>
    <d v="2025-06-20T00:00:00"/>
    <x v="3"/>
    <x v="4"/>
    <x v="1"/>
  </r>
  <r>
    <n v="245"/>
    <d v="2025-03-13T11:51:00"/>
    <x v="1"/>
    <x v="2"/>
    <x v="0"/>
    <d v="2025-03-13T00:00:00"/>
    <x v="22"/>
    <x v="6"/>
    <x v="6"/>
  </r>
  <r>
    <n v="246"/>
    <d v="2025-09-25T01:25:46"/>
    <x v="1"/>
    <x v="2"/>
    <x v="0"/>
    <d v="2025-09-25T00:00:00"/>
    <x v="0"/>
    <x v="6"/>
    <x v="3"/>
  </r>
  <r>
    <n v="247"/>
    <d v="2025-09-06T01:30:27"/>
    <x v="3"/>
    <x v="0"/>
    <x v="0"/>
    <d v="2025-09-06T00:00:00"/>
    <x v="0"/>
    <x v="1"/>
    <x v="3"/>
  </r>
  <r>
    <n v="248"/>
    <d v="2025-08-22T20:09:50"/>
    <x v="1"/>
    <x v="3"/>
    <x v="1"/>
    <d v="2025-08-22T00:00:00"/>
    <x v="2"/>
    <x v="4"/>
    <x v="8"/>
  </r>
  <r>
    <n v="249"/>
    <d v="2025-02-08T05:41:45"/>
    <x v="0"/>
    <x v="0"/>
    <x v="1"/>
    <d v="2025-02-08T00:00:00"/>
    <x v="10"/>
    <x v="1"/>
    <x v="10"/>
  </r>
  <r>
    <n v="250"/>
    <d v="2025-01-15T05:14:36"/>
    <x v="1"/>
    <x v="3"/>
    <x v="1"/>
    <d v="2025-01-15T00:00:00"/>
    <x v="10"/>
    <x v="3"/>
    <x v="7"/>
  </r>
  <r>
    <n v="251"/>
    <d v="2025-05-16T08:03:53"/>
    <x v="4"/>
    <x v="2"/>
    <x v="1"/>
    <d v="2025-05-16T00:00:00"/>
    <x v="20"/>
    <x v="4"/>
    <x v="0"/>
  </r>
  <r>
    <n v="252"/>
    <d v="2025-11-02T14:56:19"/>
    <x v="0"/>
    <x v="2"/>
    <x v="1"/>
    <d v="2025-11-02T00:00:00"/>
    <x v="11"/>
    <x v="0"/>
    <x v="2"/>
  </r>
  <r>
    <n v="253"/>
    <d v="2025-03-21T23:25:53"/>
    <x v="3"/>
    <x v="0"/>
    <x v="1"/>
    <d v="2025-03-21T00:00:00"/>
    <x v="5"/>
    <x v="4"/>
    <x v="6"/>
  </r>
  <r>
    <n v="254"/>
    <d v="2025-08-14T13:49:42"/>
    <x v="1"/>
    <x v="2"/>
    <x v="1"/>
    <d v="2025-08-14T00:00:00"/>
    <x v="19"/>
    <x v="6"/>
    <x v="8"/>
  </r>
  <r>
    <n v="255"/>
    <d v="2025-08-28T00:27:14"/>
    <x v="3"/>
    <x v="3"/>
    <x v="0"/>
    <d v="2025-08-28T00:00:00"/>
    <x v="1"/>
    <x v="6"/>
    <x v="8"/>
  </r>
  <r>
    <n v="256"/>
    <d v="2025-12-13T17:13:54"/>
    <x v="2"/>
    <x v="2"/>
    <x v="1"/>
    <d v="2025-12-13T00:00:00"/>
    <x v="16"/>
    <x v="1"/>
    <x v="11"/>
  </r>
  <r>
    <n v="257"/>
    <d v="2025-08-10T19:15:41"/>
    <x v="0"/>
    <x v="3"/>
    <x v="1"/>
    <d v="2025-08-10T00:00:00"/>
    <x v="9"/>
    <x v="0"/>
    <x v="8"/>
  </r>
  <r>
    <n v="258"/>
    <d v="2025-03-15T23:20:13"/>
    <x v="1"/>
    <x v="1"/>
    <x v="1"/>
    <d v="2025-03-15T00:00:00"/>
    <x v="5"/>
    <x v="1"/>
    <x v="6"/>
  </r>
  <r>
    <n v="259"/>
    <d v="2025-12-31T03:11:19"/>
    <x v="1"/>
    <x v="1"/>
    <x v="1"/>
    <d v="2025-12-31T00:00:00"/>
    <x v="15"/>
    <x v="3"/>
    <x v="11"/>
  </r>
  <r>
    <n v="260"/>
    <d v="2025-10-24T02:17:18"/>
    <x v="0"/>
    <x v="3"/>
    <x v="1"/>
    <d v="2025-10-24T00:00:00"/>
    <x v="12"/>
    <x v="4"/>
    <x v="5"/>
  </r>
  <r>
    <n v="261"/>
    <d v="2025-11-21T15:38:19"/>
    <x v="4"/>
    <x v="2"/>
    <x v="1"/>
    <d v="2025-11-21T00:00:00"/>
    <x v="8"/>
    <x v="4"/>
    <x v="2"/>
  </r>
  <r>
    <n v="262"/>
    <d v="2025-07-11T00:40:49"/>
    <x v="1"/>
    <x v="2"/>
    <x v="1"/>
    <d v="2025-07-11T00:00:00"/>
    <x v="1"/>
    <x v="4"/>
    <x v="9"/>
  </r>
  <r>
    <n v="263"/>
    <d v="2025-09-07T13:22:27"/>
    <x v="3"/>
    <x v="3"/>
    <x v="1"/>
    <d v="2025-09-07T00:00:00"/>
    <x v="19"/>
    <x v="0"/>
    <x v="3"/>
  </r>
  <r>
    <n v="264"/>
    <d v="2025-05-22T22:22:36"/>
    <x v="3"/>
    <x v="0"/>
    <x v="0"/>
    <d v="2025-05-22T00:00:00"/>
    <x v="14"/>
    <x v="6"/>
    <x v="0"/>
  </r>
  <r>
    <n v="265"/>
    <d v="2025-12-24T14:12:14"/>
    <x v="1"/>
    <x v="1"/>
    <x v="1"/>
    <d v="2025-12-24T00:00:00"/>
    <x v="11"/>
    <x v="3"/>
    <x v="11"/>
  </r>
  <r>
    <n v="266"/>
    <d v="2025-09-21T21:57:01"/>
    <x v="3"/>
    <x v="1"/>
    <x v="1"/>
    <d v="2025-09-21T00:00:00"/>
    <x v="17"/>
    <x v="0"/>
    <x v="3"/>
  </r>
  <r>
    <n v="267"/>
    <d v="2025-11-29T00:40:40"/>
    <x v="0"/>
    <x v="0"/>
    <x v="1"/>
    <d v="2025-11-29T00:00:00"/>
    <x v="1"/>
    <x v="1"/>
    <x v="2"/>
  </r>
  <r>
    <n v="268"/>
    <d v="2025-03-29T12:10:28"/>
    <x v="3"/>
    <x v="0"/>
    <x v="1"/>
    <d v="2025-03-29T00:00:00"/>
    <x v="23"/>
    <x v="1"/>
    <x v="6"/>
  </r>
  <r>
    <n v="269"/>
    <d v="2025-07-13T21:28:10"/>
    <x v="0"/>
    <x v="3"/>
    <x v="1"/>
    <d v="2025-07-13T00:00:00"/>
    <x v="17"/>
    <x v="0"/>
    <x v="9"/>
  </r>
  <r>
    <n v="270"/>
    <d v="2025-01-29T10:50:34"/>
    <x v="2"/>
    <x v="2"/>
    <x v="0"/>
    <d v="2025-01-29T00:00:00"/>
    <x v="6"/>
    <x v="3"/>
    <x v="7"/>
  </r>
  <r>
    <n v="271"/>
    <d v="2025-06-12T21:49:36"/>
    <x v="1"/>
    <x v="2"/>
    <x v="0"/>
    <d v="2025-06-12T00:00:00"/>
    <x v="17"/>
    <x v="6"/>
    <x v="1"/>
  </r>
  <r>
    <n v="272"/>
    <d v="2025-07-21T22:41:56"/>
    <x v="1"/>
    <x v="3"/>
    <x v="0"/>
    <d v="2025-07-21T00:00:00"/>
    <x v="14"/>
    <x v="2"/>
    <x v="9"/>
  </r>
  <r>
    <n v="273"/>
    <d v="2025-07-03T07:54:27"/>
    <x v="0"/>
    <x v="1"/>
    <x v="1"/>
    <d v="2025-07-03T00:00:00"/>
    <x v="4"/>
    <x v="6"/>
    <x v="9"/>
  </r>
  <r>
    <n v="274"/>
    <d v="2025-06-17T15:03:35"/>
    <x v="3"/>
    <x v="1"/>
    <x v="1"/>
    <d v="2025-06-17T00:00:00"/>
    <x v="8"/>
    <x v="5"/>
    <x v="1"/>
  </r>
  <r>
    <n v="275"/>
    <d v="2025-08-07T03:52:37"/>
    <x v="2"/>
    <x v="2"/>
    <x v="0"/>
    <d v="2025-08-07T00:00:00"/>
    <x v="15"/>
    <x v="6"/>
    <x v="8"/>
  </r>
  <r>
    <n v="276"/>
    <d v="2025-02-20T04:01:38"/>
    <x v="3"/>
    <x v="2"/>
    <x v="0"/>
    <d v="2025-02-20T00:00:00"/>
    <x v="21"/>
    <x v="6"/>
    <x v="10"/>
  </r>
  <r>
    <n v="277"/>
    <d v="2025-06-10T01:55:17"/>
    <x v="3"/>
    <x v="0"/>
    <x v="0"/>
    <d v="2025-06-10T00:00:00"/>
    <x v="0"/>
    <x v="5"/>
    <x v="1"/>
  </r>
  <r>
    <n v="278"/>
    <d v="2025-02-16T23:32:41"/>
    <x v="4"/>
    <x v="1"/>
    <x v="1"/>
    <d v="2025-02-16T00:00:00"/>
    <x v="5"/>
    <x v="0"/>
    <x v="10"/>
  </r>
  <r>
    <n v="279"/>
    <d v="2025-09-24T18:49:00"/>
    <x v="1"/>
    <x v="3"/>
    <x v="1"/>
    <d v="2025-09-24T00:00:00"/>
    <x v="3"/>
    <x v="3"/>
    <x v="3"/>
  </r>
  <r>
    <n v="280"/>
    <d v="2025-06-02T00:07:37"/>
    <x v="4"/>
    <x v="1"/>
    <x v="1"/>
    <d v="2025-06-02T00:00:00"/>
    <x v="1"/>
    <x v="2"/>
    <x v="1"/>
  </r>
  <r>
    <n v="281"/>
    <d v="2025-04-21T09:55:14"/>
    <x v="1"/>
    <x v="0"/>
    <x v="1"/>
    <d v="2025-04-21T00:00:00"/>
    <x v="7"/>
    <x v="2"/>
    <x v="4"/>
  </r>
  <r>
    <n v="282"/>
    <d v="2025-06-09T18:39:59"/>
    <x v="3"/>
    <x v="1"/>
    <x v="1"/>
    <d v="2025-06-09T00:00:00"/>
    <x v="3"/>
    <x v="2"/>
    <x v="1"/>
  </r>
  <r>
    <n v="283"/>
    <d v="2025-03-28T21:08:28"/>
    <x v="4"/>
    <x v="0"/>
    <x v="0"/>
    <d v="2025-03-28T00:00:00"/>
    <x v="17"/>
    <x v="4"/>
    <x v="6"/>
  </r>
  <r>
    <n v="284"/>
    <d v="2025-10-20T13:49:48"/>
    <x v="1"/>
    <x v="0"/>
    <x v="1"/>
    <d v="2025-10-20T00:00:00"/>
    <x v="19"/>
    <x v="2"/>
    <x v="5"/>
  </r>
  <r>
    <n v="285"/>
    <d v="2025-03-15T02:34:58"/>
    <x v="2"/>
    <x v="3"/>
    <x v="0"/>
    <d v="2025-03-15T00:00:00"/>
    <x v="12"/>
    <x v="1"/>
    <x v="6"/>
  </r>
  <r>
    <n v="286"/>
    <d v="2025-08-19T16:26:28"/>
    <x v="4"/>
    <x v="2"/>
    <x v="1"/>
    <d v="2025-08-19T00:00:00"/>
    <x v="18"/>
    <x v="5"/>
    <x v="8"/>
  </r>
  <r>
    <n v="287"/>
    <d v="2025-02-23T05:20:17"/>
    <x v="2"/>
    <x v="1"/>
    <x v="0"/>
    <d v="2025-02-23T00:00:00"/>
    <x v="10"/>
    <x v="0"/>
    <x v="10"/>
  </r>
  <r>
    <n v="288"/>
    <d v="2025-01-19T12:56:19"/>
    <x v="3"/>
    <x v="2"/>
    <x v="1"/>
    <d v="2025-01-19T00:00:00"/>
    <x v="23"/>
    <x v="0"/>
    <x v="7"/>
  </r>
  <r>
    <n v="289"/>
    <d v="2025-09-30T09:58:12"/>
    <x v="0"/>
    <x v="0"/>
    <x v="1"/>
    <d v="2025-09-30T00:00:00"/>
    <x v="7"/>
    <x v="5"/>
    <x v="3"/>
  </r>
  <r>
    <n v="290"/>
    <d v="2025-09-24T06:48:10"/>
    <x v="0"/>
    <x v="3"/>
    <x v="1"/>
    <d v="2025-09-24T00:00:00"/>
    <x v="13"/>
    <x v="3"/>
    <x v="3"/>
  </r>
  <r>
    <n v="291"/>
    <d v="2025-07-01T17:28:07"/>
    <x v="0"/>
    <x v="3"/>
    <x v="1"/>
    <d v="2025-07-01T00:00:00"/>
    <x v="16"/>
    <x v="5"/>
    <x v="9"/>
  </r>
  <r>
    <n v="292"/>
    <d v="2025-06-24T02:19:00"/>
    <x v="1"/>
    <x v="3"/>
    <x v="1"/>
    <d v="2025-06-24T00:00:00"/>
    <x v="12"/>
    <x v="5"/>
    <x v="1"/>
  </r>
  <r>
    <n v="293"/>
    <d v="2025-08-29T13:35:00"/>
    <x v="1"/>
    <x v="3"/>
    <x v="1"/>
    <d v="2025-08-29T00:00:00"/>
    <x v="19"/>
    <x v="4"/>
    <x v="8"/>
  </r>
  <r>
    <n v="294"/>
    <d v="2025-02-19T15:32:54"/>
    <x v="4"/>
    <x v="1"/>
    <x v="1"/>
    <d v="2025-02-19T00:00:00"/>
    <x v="8"/>
    <x v="3"/>
    <x v="10"/>
  </r>
  <r>
    <n v="295"/>
    <d v="2025-10-10T00:35:17"/>
    <x v="0"/>
    <x v="0"/>
    <x v="1"/>
    <d v="2025-10-10T00:00:00"/>
    <x v="1"/>
    <x v="4"/>
    <x v="5"/>
  </r>
  <r>
    <n v="296"/>
    <d v="2025-08-04T22:35:43"/>
    <x v="2"/>
    <x v="3"/>
    <x v="1"/>
    <d v="2025-08-04T00:00:00"/>
    <x v="14"/>
    <x v="2"/>
    <x v="8"/>
  </r>
  <r>
    <n v="297"/>
    <d v="2025-11-10T19:38:56"/>
    <x v="4"/>
    <x v="1"/>
    <x v="1"/>
    <d v="2025-11-10T00:00:00"/>
    <x v="9"/>
    <x v="2"/>
    <x v="2"/>
  </r>
  <r>
    <n v="298"/>
    <d v="2025-11-08T10:23:34"/>
    <x v="1"/>
    <x v="2"/>
    <x v="1"/>
    <d v="2025-11-08T00:00:00"/>
    <x v="6"/>
    <x v="1"/>
    <x v="2"/>
  </r>
  <r>
    <n v="299"/>
    <d v="2025-04-26T23:52:46"/>
    <x v="4"/>
    <x v="2"/>
    <x v="1"/>
    <d v="2025-04-26T00:00:00"/>
    <x v="5"/>
    <x v="1"/>
    <x v="4"/>
  </r>
  <r>
    <n v="300"/>
    <d v="2025-01-06T14:21:13"/>
    <x v="1"/>
    <x v="3"/>
    <x v="0"/>
    <d v="2025-01-06T00:00:00"/>
    <x v="11"/>
    <x v="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61202-F7D7-4D94-ADD5-A76C396B2137}"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D6" firstHeaderRow="1" firstDataRow="2" firstDataCol="1"/>
  <pivotFields count="10">
    <pivotField dataField="1" showAll="0"/>
    <pivotField numFmtId="164" showAll="0"/>
    <pivotField showAll="0"/>
    <pivotField axis="axisRow" showAll="0">
      <items count="5">
        <item x="0"/>
        <item x="1"/>
        <item x="2"/>
        <item x="3"/>
        <item t="default"/>
      </items>
    </pivotField>
    <pivotField axis="axisCol" showAll="0">
      <items count="3">
        <item x="1"/>
        <item x="0"/>
        <item t="default"/>
      </items>
    </pivotField>
    <pivotField numFmtId="165" showAll="0"/>
    <pivotField showAll="0"/>
    <pivotField showAll="0">
      <items count="8">
        <item x="0"/>
        <item x="2"/>
        <item x="5"/>
        <item x="3"/>
        <item x="6"/>
        <item x="4"/>
        <item x="1"/>
        <item t="default"/>
      </items>
    </pivotField>
    <pivotField showAll="0">
      <items count="13">
        <item h="1" x="7"/>
        <item h="1" x="10"/>
        <item h="1" x="6"/>
        <item h="1" x="4"/>
        <item x="0"/>
        <item h="1" x="1"/>
        <item h="1" x="9"/>
        <item h="1" x="8"/>
        <item h="1" x="3"/>
        <item h="1" x="5"/>
        <item h="1" x="2"/>
        <item h="1" x="11"/>
        <item t="default"/>
      </items>
    </pivotField>
    <pivotField dragToRow="0" dragToCol="0" dragToPage="0" showAll="0" defaultSubtotal="0"/>
  </pivotFields>
  <rowFields count="1">
    <field x="3"/>
  </rowFields>
  <rowItems count="4">
    <i>
      <x/>
    </i>
    <i>
      <x v="1"/>
    </i>
    <i>
      <x v="2"/>
    </i>
    <i>
      <x v="3"/>
    </i>
  </rowItems>
  <colFields count="1">
    <field x="4"/>
  </colFields>
  <colItems count="3">
    <i>
      <x/>
    </i>
    <i>
      <x v="1"/>
    </i>
    <i t="grand">
      <x/>
    </i>
  </colItems>
  <dataFields count="1">
    <dataField name="Count of VisitID" fld="0" subtotal="count" showDataAs="percentOfRow" baseField="3" baseItem="0" numFmtId="10"/>
  </dataFields>
  <chartFormats count="6">
    <chartFormat chart="0" format="3" series="1">
      <pivotArea type="data" outline="0" fieldPosition="0">
        <references count="1">
          <reference field="4" count="1" selected="0">
            <x v="0"/>
          </reference>
        </references>
      </pivotArea>
    </chartFormat>
    <chartFormat chart="0" format="4" series="1">
      <pivotArea type="data" outline="0" fieldPosition="0">
        <references count="1">
          <reference field="4" count="1" selected="0">
            <x v="1"/>
          </reference>
        </references>
      </pivotArea>
    </chartFormat>
    <chartFormat chart="0" format="5" series="1">
      <pivotArea type="data" outline="0" fieldPosition="0">
        <references count="2">
          <reference field="4294967294" count="1" selected="0">
            <x v="0"/>
          </reference>
          <reference field="4" count="1" selected="0">
            <x v="0"/>
          </reference>
        </references>
      </pivotArea>
    </chartFormat>
    <chartFormat chart="0" format="6" series="1">
      <pivotArea type="data" outline="0" fieldPosition="0">
        <references count="2">
          <reference field="4294967294" count="1" selected="0">
            <x v="0"/>
          </reference>
          <reference field="4" count="1" selected="0">
            <x v="1"/>
          </reference>
        </references>
      </pivotArea>
    </chartFormat>
    <chartFormat chart="4" format="9" series="1">
      <pivotArea type="data" outline="0" fieldPosition="0">
        <references count="2">
          <reference field="4294967294" count="1" selected="0">
            <x v="0"/>
          </reference>
          <reference field="4" count="1" selected="0">
            <x v="0"/>
          </reference>
        </references>
      </pivotArea>
    </chartFormat>
    <chartFormat chart="4" format="10"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F873BF-56CC-4664-AC66-6AFB7B26329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B15" firstHeaderRow="1" firstDataRow="1" firstDataCol="1"/>
  <pivotFields count="10">
    <pivotField dataField="1" showAll="0"/>
    <pivotField numFmtId="164" showAll="0"/>
    <pivotField showAll="0"/>
    <pivotField showAll="0">
      <items count="5">
        <item x="0"/>
        <item x="1"/>
        <item x="2"/>
        <item x="3"/>
        <item t="default"/>
      </items>
    </pivotField>
    <pivotField showAll="0"/>
    <pivotField numFmtId="165" showAll="0"/>
    <pivotField axis="axisRow" showAll="0">
      <items count="25">
        <item x="1"/>
        <item x="0"/>
        <item x="12"/>
        <item x="15"/>
        <item x="21"/>
        <item x="10"/>
        <item x="13"/>
        <item x="4"/>
        <item x="20"/>
        <item x="7"/>
        <item x="6"/>
        <item x="22"/>
        <item x="23"/>
        <item x="19"/>
        <item x="11"/>
        <item x="8"/>
        <item x="18"/>
        <item x="16"/>
        <item x="3"/>
        <item x="9"/>
        <item x="2"/>
        <item x="17"/>
        <item x="14"/>
        <item x="5"/>
        <item t="default"/>
      </items>
    </pivotField>
    <pivotField showAll="0">
      <items count="8">
        <item x="0"/>
        <item x="2"/>
        <item x="5"/>
        <item x="3"/>
        <item x="6"/>
        <item x="4"/>
        <item x="1"/>
        <item t="default"/>
      </items>
    </pivotField>
    <pivotField showAll="0">
      <items count="13">
        <item h="1" x="7"/>
        <item h="1" x="10"/>
        <item h="1" x="6"/>
        <item h="1" x="4"/>
        <item x="0"/>
        <item h="1" x="1"/>
        <item h="1" x="9"/>
        <item h="1" x="8"/>
        <item h="1" x="3"/>
        <item h="1" x="5"/>
        <item h="1" x="2"/>
        <item h="1" x="11"/>
        <item t="default"/>
      </items>
    </pivotField>
    <pivotField dragToRow="0" dragToCol="0" dragToPage="0" showAll="0" defaultSubtotal="0"/>
  </pivotFields>
  <rowFields count="1">
    <field x="6"/>
  </rowFields>
  <rowItems count="14">
    <i>
      <x/>
    </i>
    <i>
      <x v="1"/>
    </i>
    <i>
      <x v="2"/>
    </i>
    <i>
      <x v="4"/>
    </i>
    <i>
      <x v="5"/>
    </i>
    <i>
      <x v="6"/>
    </i>
    <i>
      <x v="7"/>
    </i>
    <i>
      <x v="8"/>
    </i>
    <i>
      <x v="9"/>
    </i>
    <i>
      <x v="11"/>
    </i>
    <i>
      <x v="14"/>
    </i>
    <i>
      <x v="15"/>
    </i>
    <i>
      <x v="22"/>
    </i>
    <i>
      <x v="23"/>
    </i>
  </rowItems>
  <colItems count="1">
    <i/>
  </colItems>
  <dataFields count="1">
    <dataField name="Count of VisitID" fld="0" subtotal="count" baseField="6" baseItem="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2F3946-BC9A-4128-B496-B7B2C0FA65E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C8" firstHeaderRow="1" firstDataRow="2" firstDataCol="1"/>
  <pivotFields count="10">
    <pivotField dataField="1" showAll="0"/>
    <pivotField numFmtId="164" showAll="0"/>
    <pivotField showAll="0"/>
    <pivotField showAll="0">
      <items count="5">
        <item x="0"/>
        <item x="1"/>
        <item x="2"/>
        <item x="3"/>
        <item t="default"/>
      </items>
    </pivotField>
    <pivotField axis="axisCol" showAll="0">
      <items count="3">
        <item x="1"/>
        <item x="0"/>
        <item t="default"/>
      </items>
    </pivotField>
    <pivotField numFmtId="165" showAll="0"/>
    <pivotField showAll="0"/>
    <pivotField axis="axisRow" showAll="0">
      <items count="8">
        <item x="0"/>
        <item x="2"/>
        <item x="5"/>
        <item x="3"/>
        <item x="6"/>
        <item x="4"/>
        <item x="1"/>
        <item t="default"/>
      </items>
    </pivotField>
    <pivotField showAll="0">
      <items count="13">
        <item h="1" x="7"/>
        <item h="1" x="10"/>
        <item h="1" x="6"/>
        <item h="1" x="4"/>
        <item x="0"/>
        <item h="1" x="1"/>
        <item h="1" x="9"/>
        <item h="1" x="8"/>
        <item h="1" x="3"/>
        <item h="1" x="5"/>
        <item h="1" x="2"/>
        <item h="1" x="11"/>
        <item t="default"/>
      </items>
    </pivotField>
    <pivotField dragToRow="0" dragToCol="0" dragToPage="0" showAll="0" defaultSubtotal="0"/>
  </pivotFields>
  <rowFields count="1">
    <field x="7"/>
  </rowFields>
  <rowItems count="6">
    <i>
      <x/>
    </i>
    <i>
      <x v="1"/>
    </i>
    <i>
      <x v="2"/>
    </i>
    <i>
      <x v="3"/>
    </i>
    <i>
      <x v="4"/>
    </i>
    <i>
      <x v="5"/>
    </i>
  </rowItems>
  <colFields count="1">
    <field x="4"/>
  </colFields>
  <colItems count="2">
    <i>
      <x/>
    </i>
    <i>
      <x v="1"/>
    </i>
  </colItems>
  <dataFields count="1">
    <dataField name="Count of VisitID" fld="0" subtotal="count" baseField="7"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6" format="4" series="1">
      <pivotArea type="data" outline="0" fieldPosition="0">
        <references count="2">
          <reference field="4294967294" count="1" selected="0">
            <x v="0"/>
          </reference>
          <reference field="4" count="1" selected="0">
            <x v="0"/>
          </reference>
        </references>
      </pivotArea>
    </chartFormat>
    <chartFormat chart="6" format="5"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A34756-EEC7-4CE2-B08B-467DA72A5B7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E3" firstHeaderRow="1" firstDataRow="2" firstDataCol="1"/>
  <pivotFields count="10">
    <pivotField dataField="1" showAll="0"/>
    <pivotField numFmtId="164" showAll="0"/>
    <pivotField showAll="0"/>
    <pivotField axis="axisCol" showAll="0">
      <items count="5">
        <item x="0"/>
        <item x="1"/>
        <item x="2"/>
        <item x="3"/>
        <item t="default"/>
      </items>
    </pivotField>
    <pivotField showAll="0"/>
    <pivotField numFmtId="165" showAll="0"/>
    <pivotField showAll="0"/>
    <pivotField showAll="0">
      <items count="8">
        <item x="0"/>
        <item x="2"/>
        <item x="5"/>
        <item x="3"/>
        <item x="6"/>
        <item x="4"/>
        <item x="1"/>
        <item t="default"/>
      </items>
    </pivotField>
    <pivotField axis="axisRow" showAll="0">
      <items count="13">
        <item h="1" x="7"/>
        <item h="1" x="10"/>
        <item h="1" x="6"/>
        <item h="1" x="4"/>
        <item x="0"/>
        <item h="1" x="1"/>
        <item h="1" x="9"/>
        <item h="1" x="8"/>
        <item h="1" x="3"/>
        <item h="1" x="5"/>
        <item h="1" x="2"/>
        <item h="1" x="11"/>
        <item t="default"/>
      </items>
    </pivotField>
    <pivotField dragToRow="0" dragToCol="0" dragToPage="0" showAll="0" defaultSubtotal="0"/>
  </pivotFields>
  <rowFields count="1">
    <field x="8"/>
  </rowFields>
  <rowItems count="1">
    <i>
      <x v="4"/>
    </i>
  </rowItems>
  <colFields count="1">
    <field x="3"/>
  </colFields>
  <colItems count="4">
    <i>
      <x/>
    </i>
    <i>
      <x v="1"/>
    </i>
    <i>
      <x v="2"/>
    </i>
    <i>
      <x v="3"/>
    </i>
  </colItems>
  <dataFields count="1">
    <dataField name="Count of VisitID" fld="0" subtotal="count" baseField="8"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4" format="8" series="1">
      <pivotArea type="data" outline="0" fieldPosition="0">
        <references count="2">
          <reference field="4294967294" count="1" selected="0">
            <x v="0"/>
          </reference>
          <reference field="3" count="1" selected="0">
            <x v="0"/>
          </reference>
        </references>
      </pivotArea>
    </chartFormat>
    <chartFormat chart="4" format="9" series="1">
      <pivotArea type="data" outline="0" fieldPosition="0">
        <references count="2">
          <reference field="4294967294" count="1" selected="0">
            <x v="0"/>
          </reference>
          <reference field="3" count="1" selected="0">
            <x v="1"/>
          </reference>
        </references>
      </pivotArea>
    </chartFormat>
    <chartFormat chart="4" format="10" series="1">
      <pivotArea type="data" outline="0" fieldPosition="0">
        <references count="2">
          <reference field="4294967294" count="1" selected="0">
            <x v="0"/>
          </reference>
          <reference field="3" count="1" selected="0">
            <x v="2"/>
          </reference>
        </references>
      </pivotArea>
    </chartFormat>
    <chartFormat chart="4" format="11" series="1">
      <pivotArea type="data" outline="0" fieldPosition="0">
        <references count="2">
          <reference field="4294967294" count="1" selected="0">
            <x v="0"/>
          </reference>
          <reference field="3" count="1" selected="0">
            <x v="3"/>
          </reference>
        </references>
      </pivotArea>
    </chartFormat>
    <chartFormat chart="4"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C4AC1B-BB55-4946-A2AD-7CD81C33FE9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C7" firstHeaderRow="1" firstDataRow="2" firstDataCol="1"/>
  <pivotFields count="10">
    <pivotField dataField="1" showAll="0"/>
    <pivotField numFmtId="164" showAll="0"/>
    <pivotField axis="axisRow" showAll="0">
      <items count="6">
        <item x="1"/>
        <item x="4"/>
        <item x="2"/>
        <item x="0"/>
        <item x="3"/>
        <item t="default"/>
      </items>
    </pivotField>
    <pivotField showAll="0">
      <items count="5">
        <item x="0"/>
        <item x="1"/>
        <item x="2"/>
        <item x="3"/>
        <item t="default"/>
      </items>
    </pivotField>
    <pivotField axis="axisCol" showAll="0">
      <items count="3">
        <item x="1"/>
        <item x="0"/>
        <item t="default"/>
      </items>
    </pivotField>
    <pivotField numFmtId="165" showAll="0"/>
    <pivotField showAll="0"/>
    <pivotField showAll="0">
      <items count="8">
        <item x="0"/>
        <item x="2"/>
        <item x="5"/>
        <item x="3"/>
        <item x="6"/>
        <item x="4"/>
        <item x="1"/>
        <item t="default"/>
      </items>
    </pivotField>
    <pivotField showAll="0">
      <items count="13">
        <item h="1" x="7"/>
        <item h="1" x="10"/>
        <item h="1" x="6"/>
        <item h="1" x="4"/>
        <item x="0"/>
        <item h="1" x="1"/>
        <item h="1" x="9"/>
        <item h="1" x="8"/>
        <item h="1" x="3"/>
        <item h="1" x="5"/>
        <item h="1" x="2"/>
        <item h="1" x="11"/>
        <item t="default"/>
      </items>
    </pivotField>
    <pivotField dragToRow="0" dragToCol="0" dragToPage="0" showAll="0" defaultSubtotal="0"/>
  </pivotFields>
  <rowFields count="1">
    <field x="2"/>
  </rowFields>
  <rowItems count="5">
    <i>
      <x/>
    </i>
    <i>
      <x v="1"/>
    </i>
    <i>
      <x v="2"/>
    </i>
    <i>
      <x v="3"/>
    </i>
    <i>
      <x v="4"/>
    </i>
  </rowItems>
  <colFields count="1">
    <field x="4"/>
  </colFields>
  <colItems count="2">
    <i>
      <x/>
    </i>
    <i>
      <x v="1"/>
    </i>
  </colItems>
  <dataFields count="1">
    <dataField name="Count of VisitID" fld="0" subtotal="count" baseField="2"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A38B2C6B-2F35-4B94-895C-B926BEC35BF8}" sourceName="Source">
  <pivotTables>
    <pivotTable tabId="4" name="PivotTable5"/>
    <pivotTable tabId="6" name="PivotTable7"/>
    <pivotTable tabId="2" name="PivotTable3"/>
    <pivotTable tabId="5" name="PivotTable6"/>
    <pivotTable tabId="3" name="PivotTable4"/>
  </pivotTables>
  <data>
    <tabular pivotCacheId="27245347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75DFB84-FB9E-4328-8ADC-793A8DEB4EA8}" sourceName="Month">
  <pivotTables>
    <pivotTable tabId="4" name="PivotTable5"/>
    <pivotTable tabId="6" name="PivotTable7"/>
    <pivotTable tabId="2" name="PivotTable3"/>
    <pivotTable tabId="5" name="PivotTable6"/>
    <pivotTable tabId="3" name="PivotTable4"/>
  </pivotTables>
  <data>
    <tabular pivotCacheId="272453470">
      <items count="12">
        <i x="7"/>
        <i x="10"/>
        <i x="6"/>
        <i x="4"/>
        <i x="0" s="1"/>
        <i x="1"/>
        <i x="9"/>
        <i x="8"/>
        <i x="3"/>
        <i x="5"/>
        <i x="2"/>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ofWeek" xr10:uid="{80527CB1-9E9B-43C5-866D-19EE4F1EB45B}" sourceName="DayofWeek">
  <pivotTables>
    <pivotTable tabId="4" name="PivotTable5"/>
    <pivotTable tabId="6" name="PivotTable7"/>
    <pivotTable tabId="2" name="PivotTable3"/>
    <pivotTable tabId="5" name="PivotTable6"/>
    <pivotTable tabId="3" name="PivotTable4"/>
  </pivotTables>
  <data>
    <tabular pivotCacheId="272453470">
      <items count="7">
        <i x="0" s="1"/>
        <i x="2" s="1"/>
        <i x="5" s="1"/>
        <i x="3" s="1"/>
        <i x="6" s="1"/>
        <i x="4"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xr10:uid="{CE9079FF-4CFA-4C65-B872-2A38C357FE44}" cache="Slicer_Source" caption="Source" rowHeight="241300"/>
  <slicer name="Month" xr10:uid="{3DBD858B-47C2-473B-8228-E7FEA14F744B}" cache="Slicer_Month" caption="Month" startItem="2" rowHeight="241300"/>
  <slicer name="DayofWeek" xr10:uid="{CEFC2B0B-C017-40B5-A074-AE30C0E72DED}" cache="Slicer_DayofWeek" caption="DayofWee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3D5BA-E9AC-462A-BCD8-A79374E68475}" name="t" displayName="t" ref="A1:I301" totalsRowShown="0">
  <autoFilter ref="A1:I301" xr:uid="{DFA3D5BA-E9AC-462A-BCD8-A79374E68475}"/>
  <tableColumns count="9">
    <tableColumn id="1" xr3:uid="{BAAB136E-3D94-47DE-957B-8040E1FCD42E}" name="VisitID"/>
    <tableColumn id="2" xr3:uid="{EAD64141-83DC-4B19-A8B7-B6DC8493E59B}" name="Timestamp" dataDxfId="1"/>
    <tableColumn id="3" xr3:uid="{6A350A51-F9AB-4251-97E7-9E8300231FA8}" name="PageViewed"/>
    <tableColumn id="4" xr3:uid="{8E6F2DE6-B075-4770-B6A3-C01ED57FCC2E}" name="Source"/>
    <tableColumn id="5" xr3:uid="{705F728A-D7EE-4E1C-8E52-F49FD263B1EE}" name="Bounce"/>
    <tableColumn id="6" xr3:uid="{DE004800-CDE1-485A-AE1F-35D5341B498A}" name="Date" dataDxfId="0">
      <calculatedColumnFormula>INT(B2)</calculatedColumnFormula>
    </tableColumn>
    <tableColumn id="7" xr3:uid="{AFFF2D35-9450-42D4-8524-D7832EFC3BA4}" name="Hour">
      <calculatedColumnFormula>HOUR(B2)</calculatedColumnFormula>
    </tableColumn>
    <tableColumn id="8" xr3:uid="{D29F4C34-134A-433B-B9FE-9CF6C6EC32BF}" name="DayofWeek">
      <calculatedColumnFormula>TEXT(B2, "dddd")</calculatedColumnFormula>
    </tableColumn>
    <tableColumn id="9" xr3:uid="{22982D07-F347-4D38-A6D8-5F250393F52A}" name="Month">
      <calculatedColumnFormula>TEXT(B2, "mmm")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B629B-EE33-4BF3-BC64-9A897A16F188}">
  <dimension ref="A1:X20"/>
  <sheetViews>
    <sheetView tabSelected="1" zoomScale="80" zoomScaleNormal="80" workbookViewId="0">
      <selection activeCell="Y37" sqref="Y37"/>
    </sheetView>
  </sheetViews>
  <sheetFormatPr defaultRowHeight="14.5" x14ac:dyDescent="0.35"/>
  <sheetData>
    <row r="1" spans="1:24" ht="26" x14ac:dyDescent="0.6">
      <c r="A1" s="9" t="s">
        <v>31</v>
      </c>
      <c r="B1" s="9"/>
      <c r="C1" s="9"/>
      <c r="D1" s="9"/>
      <c r="E1" s="9"/>
      <c r="F1" s="9"/>
      <c r="G1" s="9"/>
      <c r="H1" s="9"/>
      <c r="I1" s="9"/>
      <c r="J1" s="9"/>
      <c r="K1" s="9"/>
      <c r="L1" s="9"/>
      <c r="M1" s="9"/>
      <c r="N1" s="9"/>
      <c r="O1" s="9"/>
      <c r="P1" s="9"/>
      <c r="Q1" s="9"/>
      <c r="R1" s="9"/>
      <c r="S1" s="9"/>
      <c r="T1" s="9"/>
      <c r="U1" s="9"/>
      <c r="V1" s="9"/>
      <c r="W1" s="9"/>
      <c r="X1" s="9"/>
    </row>
    <row r="2" spans="1:24" ht="21" x14ac:dyDescent="0.5">
      <c r="A2" s="10" t="s">
        <v>32</v>
      </c>
      <c r="B2" s="10"/>
      <c r="C2" s="10"/>
      <c r="D2" s="10"/>
      <c r="E2" s="10"/>
      <c r="F2" s="10"/>
      <c r="G2" s="10"/>
      <c r="H2" s="10"/>
      <c r="I2" s="10"/>
      <c r="J2" s="10"/>
      <c r="K2" s="10"/>
      <c r="L2" s="10"/>
      <c r="M2" s="10" t="s">
        <v>33</v>
      </c>
      <c r="N2" s="10"/>
      <c r="O2" s="10"/>
      <c r="P2" s="10"/>
      <c r="Q2" s="10"/>
      <c r="R2" s="10"/>
      <c r="S2" s="10"/>
      <c r="T2" s="10"/>
      <c r="U2" s="10"/>
      <c r="V2" s="10"/>
      <c r="W2" s="10"/>
      <c r="X2" s="10"/>
    </row>
    <row r="17" spans="17:24" ht="15.5" x14ac:dyDescent="0.35">
      <c r="Q17" s="11" t="s">
        <v>34</v>
      </c>
      <c r="R17" s="11"/>
      <c r="S17" s="11"/>
      <c r="T17" s="11"/>
      <c r="U17" s="11" t="s">
        <v>35</v>
      </c>
      <c r="V17" s="11"/>
      <c r="W17" s="11"/>
      <c r="X17" s="11"/>
    </row>
    <row r="18" spans="17:24" x14ac:dyDescent="0.35">
      <c r="Q18" s="6" t="s">
        <v>36</v>
      </c>
      <c r="R18" s="6"/>
      <c r="S18" s="6"/>
      <c r="T18" s="6"/>
      <c r="U18" s="7">
        <f>COUNT(Dataset!A2:A100000)</f>
        <v>300</v>
      </c>
      <c r="V18" s="7"/>
      <c r="W18" s="7"/>
      <c r="X18" s="7"/>
    </row>
    <row r="19" spans="17:24" x14ac:dyDescent="0.35">
      <c r="Q19" s="6" t="s">
        <v>37</v>
      </c>
      <c r="R19" s="6"/>
      <c r="S19" s="6"/>
      <c r="T19" s="6"/>
      <c r="U19" s="8">
        <f>COUNTIF(Dataset!E2:E301, "Yes") / COUNTA(Dataset!E2:E301)</f>
        <v>0.34666666666666668</v>
      </c>
      <c r="V19" s="8"/>
      <c r="W19" s="8"/>
      <c r="X19" s="8"/>
    </row>
    <row r="20" spans="17:24" x14ac:dyDescent="0.35">
      <c r="Q20" s="6" t="s">
        <v>38</v>
      </c>
      <c r="R20" s="6"/>
      <c r="S20" s="6"/>
      <c r="T20" s="6"/>
      <c r="U20" s="7" t="str" cm="1">
        <f t="array" ref="U20">INDEX(Dataset!D2:D301, MATCH(MAX(COUNTIF(Dataset!D2:D301,Dataset!D2:D301)), COUNTIF(Dataset!D2:D301, Dataset!D2:D301), 0))</f>
        <v>Twitter</v>
      </c>
      <c r="V20" s="7"/>
      <c r="W20" s="7"/>
      <c r="X20" s="7"/>
    </row>
  </sheetData>
  <mergeCells count="11">
    <mergeCell ref="A1:X1"/>
    <mergeCell ref="A2:L2"/>
    <mergeCell ref="M2:X2"/>
    <mergeCell ref="Q17:T17"/>
    <mergeCell ref="U17:X17"/>
    <mergeCell ref="Q19:T19"/>
    <mergeCell ref="Q20:T20"/>
    <mergeCell ref="U18:X18"/>
    <mergeCell ref="U19:X19"/>
    <mergeCell ref="U20:X20"/>
    <mergeCell ref="Q18:T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E38D-87C6-49F8-9C5C-27696F248FB8}">
  <dimension ref="A1:I301"/>
  <sheetViews>
    <sheetView topLeftCell="B283" workbookViewId="0">
      <selection activeCell="G5" sqref="G5"/>
    </sheetView>
  </sheetViews>
  <sheetFormatPr defaultRowHeight="14.5" x14ac:dyDescent="0.35"/>
  <cols>
    <col min="2" max="2" width="27.36328125" bestFit="1" customWidth="1"/>
    <col min="3" max="3" width="13" customWidth="1"/>
    <col min="5" max="5" width="9" customWidth="1"/>
    <col min="6" max="6" width="15.90625" bestFit="1" customWidth="1"/>
    <col min="8" max="8" width="12.54296875" customWidth="1"/>
  </cols>
  <sheetData>
    <row r="1" spans="1:9" x14ac:dyDescent="0.35">
      <c r="A1" t="s">
        <v>0</v>
      </c>
      <c r="B1" t="s">
        <v>1</v>
      </c>
      <c r="C1" t="s">
        <v>2</v>
      </c>
      <c r="D1" t="s">
        <v>3</v>
      </c>
      <c r="E1" t="s">
        <v>4</v>
      </c>
      <c r="F1" t="s">
        <v>16</v>
      </c>
      <c r="G1" t="s">
        <v>17</v>
      </c>
      <c r="H1" t="s">
        <v>18</v>
      </c>
      <c r="I1" t="s">
        <v>19</v>
      </c>
    </row>
    <row r="2" spans="1:9" x14ac:dyDescent="0.35">
      <c r="A2">
        <v>1</v>
      </c>
      <c r="B2" s="1">
        <v>45802.050393288395</v>
      </c>
      <c r="C2" t="s">
        <v>5</v>
      </c>
      <c r="D2" t="s">
        <v>6</v>
      </c>
      <c r="E2" t="s">
        <v>7</v>
      </c>
      <c r="F2" s="2">
        <f>INT(B2)</f>
        <v>45802</v>
      </c>
      <c r="G2">
        <f>HOUR(B2)</f>
        <v>1</v>
      </c>
      <c r="H2" t="str">
        <f>TEXT(B2, "dddd")</f>
        <v>Sunday</v>
      </c>
      <c r="I2" t="str">
        <f>TEXT(B2, "mmm")</f>
        <v>May</v>
      </c>
    </row>
    <row r="3" spans="1:9" x14ac:dyDescent="0.35">
      <c r="A3">
        <v>2</v>
      </c>
      <c r="B3" s="1">
        <v>45829.039263058294</v>
      </c>
      <c r="C3" t="s">
        <v>8</v>
      </c>
      <c r="D3" t="s">
        <v>9</v>
      </c>
      <c r="E3" t="s">
        <v>7</v>
      </c>
      <c r="F3" s="2">
        <f t="shared" ref="F3:F66" si="0">INT(B3)</f>
        <v>45829</v>
      </c>
      <c r="G3">
        <f t="shared" ref="G3:G66" si="1">HOUR(B3)</f>
        <v>0</v>
      </c>
      <c r="H3" t="str">
        <f t="shared" ref="H3:H66" si="2">TEXT(B3, "dddd")</f>
        <v>Saturday</v>
      </c>
      <c r="I3" t="str">
        <f t="shared" ref="I3:I66" si="3">TEXT(B3, "mmm")</f>
        <v>Jun</v>
      </c>
    </row>
    <row r="4" spans="1:9" x14ac:dyDescent="0.35">
      <c r="A4">
        <v>3</v>
      </c>
      <c r="B4" s="1">
        <v>45985.870203493243</v>
      </c>
      <c r="C4" t="s">
        <v>10</v>
      </c>
      <c r="D4" t="s">
        <v>11</v>
      </c>
      <c r="E4" t="s">
        <v>12</v>
      </c>
      <c r="F4" s="2">
        <f t="shared" si="0"/>
        <v>45985</v>
      </c>
      <c r="G4">
        <f t="shared" si="1"/>
        <v>20</v>
      </c>
      <c r="H4" t="str">
        <f t="shared" si="2"/>
        <v>Monday</v>
      </c>
      <c r="I4" t="str">
        <f t="shared" si="3"/>
        <v>Nov</v>
      </c>
    </row>
    <row r="5" spans="1:9" x14ac:dyDescent="0.35">
      <c r="A5">
        <v>4</v>
      </c>
      <c r="B5" s="1">
        <v>45917.776777763604</v>
      </c>
      <c r="C5" t="s">
        <v>8</v>
      </c>
      <c r="D5" t="s">
        <v>13</v>
      </c>
      <c r="E5" t="s">
        <v>12</v>
      </c>
      <c r="F5" s="2">
        <f t="shared" si="0"/>
        <v>45917</v>
      </c>
      <c r="G5">
        <f t="shared" si="1"/>
        <v>18</v>
      </c>
      <c r="H5" t="str">
        <f t="shared" si="2"/>
        <v>Wednesday</v>
      </c>
      <c r="I5" t="str">
        <f t="shared" si="3"/>
        <v>Sep</v>
      </c>
    </row>
    <row r="6" spans="1:9" x14ac:dyDescent="0.35">
      <c r="A6">
        <v>5</v>
      </c>
      <c r="B6" s="1">
        <v>45826.303628647191</v>
      </c>
      <c r="C6" t="s">
        <v>14</v>
      </c>
      <c r="D6" t="s">
        <v>13</v>
      </c>
      <c r="E6" t="s">
        <v>12</v>
      </c>
      <c r="F6" s="2">
        <f t="shared" si="0"/>
        <v>45826</v>
      </c>
      <c r="G6">
        <f t="shared" si="1"/>
        <v>7</v>
      </c>
      <c r="H6" t="str">
        <f t="shared" si="2"/>
        <v>Wednesday</v>
      </c>
      <c r="I6" t="str">
        <f t="shared" si="3"/>
        <v>Jun</v>
      </c>
    </row>
    <row r="7" spans="1:9" x14ac:dyDescent="0.35">
      <c r="A7">
        <v>6</v>
      </c>
      <c r="B7" s="1">
        <v>45821.983271986595</v>
      </c>
      <c r="C7" t="s">
        <v>10</v>
      </c>
      <c r="D7" t="s">
        <v>6</v>
      </c>
      <c r="E7" t="s">
        <v>7</v>
      </c>
      <c r="F7" s="2">
        <f t="shared" si="0"/>
        <v>45821</v>
      </c>
      <c r="G7">
        <f t="shared" si="1"/>
        <v>23</v>
      </c>
      <c r="H7" t="str">
        <f t="shared" si="2"/>
        <v>Friday</v>
      </c>
      <c r="I7" t="str">
        <f t="shared" si="3"/>
        <v>Jun</v>
      </c>
    </row>
    <row r="8" spans="1:9" x14ac:dyDescent="0.35">
      <c r="A8">
        <v>7</v>
      </c>
      <c r="B8" s="1">
        <v>45821.454624227234</v>
      </c>
      <c r="C8" t="s">
        <v>5</v>
      </c>
      <c r="D8" t="s">
        <v>11</v>
      </c>
      <c r="E8" t="s">
        <v>12</v>
      </c>
      <c r="F8" s="2">
        <f t="shared" si="0"/>
        <v>45821</v>
      </c>
      <c r="G8">
        <f t="shared" si="1"/>
        <v>10</v>
      </c>
      <c r="H8" t="str">
        <f t="shared" si="2"/>
        <v>Friday</v>
      </c>
      <c r="I8" t="str">
        <f t="shared" si="3"/>
        <v>Jun</v>
      </c>
    </row>
    <row r="9" spans="1:9" x14ac:dyDescent="0.35">
      <c r="A9">
        <v>8</v>
      </c>
      <c r="B9" s="1">
        <v>45921.97938933962</v>
      </c>
      <c r="C9" t="s">
        <v>14</v>
      </c>
      <c r="D9" t="s">
        <v>6</v>
      </c>
      <c r="E9" t="s">
        <v>7</v>
      </c>
      <c r="F9" s="2">
        <f t="shared" si="0"/>
        <v>45921</v>
      </c>
      <c r="G9">
        <f t="shared" si="1"/>
        <v>23</v>
      </c>
      <c r="H9" t="str">
        <f t="shared" si="2"/>
        <v>Sunday</v>
      </c>
      <c r="I9" t="str">
        <f t="shared" si="3"/>
        <v>Sep</v>
      </c>
    </row>
    <row r="10" spans="1:9" x14ac:dyDescent="0.35">
      <c r="A10">
        <v>9</v>
      </c>
      <c r="B10" s="1">
        <v>45979.861631613981</v>
      </c>
      <c r="C10" t="s">
        <v>15</v>
      </c>
      <c r="D10" t="s">
        <v>6</v>
      </c>
      <c r="E10" t="s">
        <v>12</v>
      </c>
      <c r="F10" s="2">
        <f t="shared" si="0"/>
        <v>45979</v>
      </c>
      <c r="G10">
        <f t="shared" si="1"/>
        <v>20</v>
      </c>
      <c r="H10" t="str">
        <f t="shared" si="2"/>
        <v>Tuesday</v>
      </c>
      <c r="I10" t="str">
        <f t="shared" si="3"/>
        <v>Nov</v>
      </c>
    </row>
    <row r="11" spans="1:9" x14ac:dyDescent="0.35">
      <c r="A11">
        <v>10</v>
      </c>
      <c r="B11" s="1">
        <v>45759.413391760158</v>
      </c>
      <c r="C11" t="s">
        <v>5</v>
      </c>
      <c r="D11" t="s">
        <v>6</v>
      </c>
      <c r="E11" t="s">
        <v>12</v>
      </c>
      <c r="F11" s="2">
        <f t="shared" si="0"/>
        <v>45759</v>
      </c>
      <c r="G11">
        <f t="shared" si="1"/>
        <v>9</v>
      </c>
      <c r="H11" t="str">
        <f t="shared" si="2"/>
        <v>Saturday</v>
      </c>
      <c r="I11" t="str">
        <f t="shared" si="3"/>
        <v>Apr</v>
      </c>
    </row>
    <row r="12" spans="1:9" x14ac:dyDescent="0.35">
      <c r="A12">
        <v>11</v>
      </c>
      <c r="B12" s="1">
        <v>45932.626001682045</v>
      </c>
      <c r="C12" t="s">
        <v>5</v>
      </c>
      <c r="D12" t="s">
        <v>11</v>
      </c>
      <c r="E12" t="s">
        <v>12</v>
      </c>
      <c r="F12" s="2">
        <f t="shared" si="0"/>
        <v>45932</v>
      </c>
      <c r="G12">
        <f t="shared" si="1"/>
        <v>15</v>
      </c>
      <c r="H12" t="str">
        <f t="shared" si="2"/>
        <v>Thursday</v>
      </c>
      <c r="I12" t="str">
        <f t="shared" si="3"/>
        <v>Oct</v>
      </c>
    </row>
    <row r="13" spans="1:9" x14ac:dyDescent="0.35">
      <c r="A13">
        <v>12</v>
      </c>
      <c r="B13" s="1">
        <v>45990.390908212918</v>
      </c>
      <c r="C13" t="s">
        <v>5</v>
      </c>
      <c r="D13" t="s">
        <v>9</v>
      </c>
      <c r="E13" t="s">
        <v>7</v>
      </c>
      <c r="F13" s="2">
        <f t="shared" si="0"/>
        <v>45990</v>
      </c>
      <c r="G13">
        <f t="shared" si="1"/>
        <v>9</v>
      </c>
      <c r="H13" t="str">
        <f t="shared" si="2"/>
        <v>Saturday</v>
      </c>
      <c r="I13" t="str">
        <f t="shared" si="3"/>
        <v>Nov</v>
      </c>
    </row>
    <row r="14" spans="1:9" x14ac:dyDescent="0.35">
      <c r="A14">
        <v>13</v>
      </c>
      <c r="B14" s="1">
        <v>45736.795358608731</v>
      </c>
      <c r="C14" t="s">
        <v>5</v>
      </c>
      <c r="D14" t="s">
        <v>13</v>
      </c>
      <c r="E14" t="s">
        <v>12</v>
      </c>
      <c r="F14" s="2">
        <f t="shared" si="0"/>
        <v>45736</v>
      </c>
      <c r="G14">
        <f t="shared" si="1"/>
        <v>19</v>
      </c>
      <c r="H14" t="str">
        <f t="shared" si="2"/>
        <v>Thursday</v>
      </c>
      <c r="I14" t="str">
        <f t="shared" si="3"/>
        <v>Mar</v>
      </c>
    </row>
    <row r="15" spans="1:9" x14ac:dyDescent="0.35">
      <c r="A15">
        <v>14</v>
      </c>
      <c r="B15" s="1">
        <v>45803.299085997962</v>
      </c>
      <c r="C15" t="s">
        <v>14</v>
      </c>
      <c r="D15" t="s">
        <v>13</v>
      </c>
      <c r="E15" t="s">
        <v>7</v>
      </c>
      <c r="F15" s="2">
        <f t="shared" si="0"/>
        <v>45803</v>
      </c>
      <c r="G15">
        <f t="shared" si="1"/>
        <v>7</v>
      </c>
      <c r="H15" t="str">
        <f t="shared" si="2"/>
        <v>Monday</v>
      </c>
      <c r="I15" t="str">
        <f t="shared" si="3"/>
        <v>May</v>
      </c>
    </row>
    <row r="16" spans="1:9" x14ac:dyDescent="0.35">
      <c r="A16">
        <v>15</v>
      </c>
      <c r="B16" s="1">
        <v>45664.813959177802</v>
      </c>
      <c r="C16" t="s">
        <v>14</v>
      </c>
      <c r="D16" t="s">
        <v>13</v>
      </c>
      <c r="E16" t="s">
        <v>12</v>
      </c>
      <c r="F16" s="2">
        <f t="shared" si="0"/>
        <v>45664</v>
      </c>
      <c r="G16">
        <f t="shared" si="1"/>
        <v>19</v>
      </c>
      <c r="H16" t="str">
        <f t="shared" si="2"/>
        <v>Tuesday</v>
      </c>
      <c r="I16" t="str">
        <f t="shared" si="3"/>
        <v>Jan</v>
      </c>
    </row>
    <row r="17" spans="1:9" x14ac:dyDescent="0.35">
      <c r="A17">
        <v>16</v>
      </c>
      <c r="B17" s="1">
        <v>45984.208380801829</v>
      </c>
      <c r="C17" t="s">
        <v>14</v>
      </c>
      <c r="D17" t="s">
        <v>9</v>
      </c>
      <c r="E17" t="s">
        <v>7</v>
      </c>
      <c r="F17" s="2">
        <f t="shared" si="0"/>
        <v>45984</v>
      </c>
      <c r="G17">
        <f t="shared" si="1"/>
        <v>5</v>
      </c>
      <c r="H17" t="str">
        <f t="shared" si="2"/>
        <v>Sunday</v>
      </c>
      <c r="I17" t="str">
        <f t="shared" si="3"/>
        <v>Nov</v>
      </c>
    </row>
    <row r="18" spans="1:9" x14ac:dyDescent="0.35">
      <c r="A18">
        <v>17</v>
      </c>
      <c r="B18" s="1">
        <v>45826.60226746097</v>
      </c>
      <c r="C18" t="s">
        <v>10</v>
      </c>
      <c r="D18" t="s">
        <v>13</v>
      </c>
      <c r="E18" t="s">
        <v>12</v>
      </c>
      <c r="F18" s="2">
        <f t="shared" si="0"/>
        <v>45826</v>
      </c>
      <c r="G18">
        <f t="shared" si="1"/>
        <v>14</v>
      </c>
      <c r="H18" t="str">
        <f t="shared" si="2"/>
        <v>Wednesday</v>
      </c>
      <c r="I18" t="str">
        <f t="shared" si="3"/>
        <v>Jun</v>
      </c>
    </row>
    <row r="19" spans="1:9" x14ac:dyDescent="0.35">
      <c r="A19">
        <v>18</v>
      </c>
      <c r="B19" s="1">
        <v>45724.777117189813</v>
      </c>
      <c r="C19" t="s">
        <v>14</v>
      </c>
      <c r="D19" t="s">
        <v>13</v>
      </c>
      <c r="E19" t="s">
        <v>12</v>
      </c>
      <c r="F19" s="2">
        <f t="shared" si="0"/>
        <v>45724</v>
      </c>
      <c r="G19">
        <f t="shared" si="1"/>
        <v>18</v>
      </c>
      <c r="H19" t="str">
        <f t="shared" si="2"/>
        <v>Saturday</v>
      </c>
      <c r="I19" t="str">
        <f t="shared" si="3"/>
        <v>Mar</v>
      </c>
    </row>
    <row r="20" spans="1:9" x14ac:dyDescent="0.35">
      <c r="A20">
        <v>19</v>
      </c>
      <c r="B20" s="1">
        <v>45662.810963548887</v>
      </c>
      <c r="C20" t="s">
        <v>14</v>
      </c>
      <c r="D20" t="s">
        <v>9</v>
      </c>
      <c r="E20" t="s">
        <v>12</v>
      </c>
      <c r="F20" s="2">
        <f t="shared" si="0"/>
        <v>45662</v>
      </c>
      <c r="G20">
        <f t="shared" si="1"/>
        <v>19</v>
      </c>
      <c r="H20" t="str">
        <f t="shared" si="2"/>
        <v>Sunday</v>
      </c>
      <c r="I20" t="str">
        <f t="shared" si="3"/>
        <v>Jan</v>
      </c>
    </row>
    <row r="21" spans="1:9" x14ac:dyDescent="0.35">
      <c r="A21">
        <v>20</v>
      </c>
      <c r="B21" s="1">
        <v>45889.596714131389</v>
      </c>
      <c r="C21" t="s">
        <v>5</v>
      </c>
      <c r="D21" t="s">
        <v>6</v>
      </c>
      <c r="E21" t="s">
        <v>7</v>
      </c>
      <c r="F21" s="2">
        <f t="shared" si="0"/>
        <v>45889</v>
      </c>
      <c r="G21">
        <f t="shared" si="1"/>
        <v>14</v>
      </c>
      <c r="H21" t="str">
        <f t="shared" si="2"/>
        <v>Wednesday</v>
      </c>
      <c r="I21" t="str">
        <f t="shared" si="3"/>
        <v>Aug</v>
      </c>
    </row>
    <row r="22" spans="1:9" x14ac:dyDescent="0.35">
      <c r="A22">
        <v>21</v>
      </c>
      <c r="B22" s="1">
        <v>45793.111118458604</v>
      </c>
      <c r="C22" t="s">
        <v>8</v>
      </c>
      <c r="D22" t="s">
        <v>9</v>
      </c>
      <c r="E22" t="s">
        <v>12</v>
      </c>
      <c r="F22" s="2">
        <f t="shared" si="0"/>
        <v>45793</v>
      </c>
      <c r="G22">
        <f t="shared" si="1"/>
        <v>2</v>
      </c>
      <c r="H22" t="str">
        <f t="shared" si="2"/>
        <v>Friday</v>
      </c>
      <c r="I22" t="str">
        <f t="shared" si="3"/>
        <v>May</v>
      </c>
    </row>
    <row r="23" spans="1:9" x14ac:dyDescent="0.35">
      <c r="A23">
        <v>22</v>
      </c>
      <c r="B23" s="1">
        <v>45839.972878587301</v>
      </c>
      <c r="C23" t="s">
        <v>14</v>
      </c>
      <c r="D23" t="s">
        <v>9</v>
      </c>
      <c r="E23" t="s">
        <v>12</v>
      </c>
      <c r="F23" s="2">
        <f t="shared" si="0"/>
        <v>45839</v>
      </c>
      <c r="G23">
        <f t="shared" si="1"/>
        <v>23</v>
      </c>
      <c r="H23" t="str">
        <f t="shared" si="2"/>
        <v>Tuesday</v>
      </c>
      <c r="I23" t="str">
        <f t="shared" si="3"/>
        <v>Jul</v>
      </c>
    </row>
    <row r="24" spans="1:9" x14ac:dyDescent="0.35">
      <c r="A24">
        <v>23</v>
      </c>
      <c r="B24" s="1">
        <v>45698.124676239902</v>
      </c>
      <c r="C24" t="s">
        <v>14</v>
      </c>
      <c r="D24" t="s">
        <v>9</v>
      </c>
      <c r="E24" t="s">
        <v>12</v>
      </c>
      <c r="F24" s="2">
        <f t="shared" si="0"/>
        <v>45698</v>
      </c>
      <c r="G24">
        <f t="shared" si="1"/>
        <v>2</v>
      </c>
      <c r="H24" t="str">
        <f t="shared" si="2"/>
        <v>Monday</v>
      </c>
      <c r="I24" t="str">
        <f t="shared" si="3"/>
        <v>Feb</v>
      </c>
    </row>
    <row r="25" spans="1:9" x14ac:dyDescent="0.35">
      <c r="A25">
        <v>24</v>
      </c>
      <c r="B25" s="1">
        <v>45661.290955072203</v>
      </c>
      <c r="C25" t="s">
        <v>8</v>
      </c>
      <c r="D25" t="s">
        <v>9</v>
      </c>
      <c r="E25" t="s">
        <v>7</v>
      </c>
      <c r="F25" s="2">
        <f t="shared" si="0"/>
        <v>45661</v>
      </c>
      <c r="G25">
        <f t="shared" si="1"/>
        <v>6</v>
      </c>
      <c r="H25" t="str">
        <f t="shared" si="2"/>
        <v>Saturday</v>
      </c>
      <c r="I25" t="str">
        <f t="shared" si="3"/>
        <v>Jan</v>
      </c>
    </row>
    <row r="26" spans="1:9" x14ac:dyDescent="0.35">
      <c r="A26">
        <v>25</v>
      </c>
      <c r="B26" s="1">
        <v>45813.276734338076</v>
      </c>
      <c r="C26" t="s">
        <v>14</v>
      </c>
      <c r="D26" t="s">
        <v>11</v>
      </c>
      <c r="E26" t="s">
        <v>12</v>
      </c>
      <c r="F26" s="2">
        <f t="shared" si="0"/>
        <v>45813</v>
      </c>
      <c r="G26">
        <f t="shared" si="1"/>
        <v>6</v>
      </c>
      <c r="H26" t="str">
        <f t="shared" si="2"/>
        <v>Thursday</v>
      </c>
      <c r="I26" t="str">
        <f t="shared" si="3"/>
        <v>Jun</v>
      </c>
    </row>
    <row r="27" spans="1:9" x14ac:dyDescent="0.35">
      <c r="A27">
        <v>26</v>
      </c>
      <c r="B27" s="1">
        <v>45955.945338279867</v>
      </c>
      <c r="C27" t="s">
        <v>10</v>
      </c>
      <c r="D27" t="s">
        <v>13</v>
      </c>
      <c r="E27" t="s">
        <v>7</v>
      </c>
      <c r="F27" s="2">
        <f t="shared" si="0"/>
        <v>45955</v>
      </c>
      <c r="G27">
        <f t="shared" si="1"/>
        <v>22</v>
      </c>
      <c r="H27" t="str">
        <f t="shared" si="2"/>
        <v>Saturday</v>
      </c>
      <c r="I27" t="str">
        <f t="shared" si="3"/>
        <v>Oct</v>
      </c>
    </row>
    <row r="28" spans="1:9" x14ac:dyDescent="0.35">
      <c r="A28">
        <v>27</v>
      </c>
      <c r="B28" s="1">
        <v>45769.317976891405</v>
      </c>
      <c r="C28" t="s">
        <v>10</v>
      </c>
      <c r="D28" t="s">
        <v>9</v>
      </c>
      <c r="E28" t="s">
        <v>12</v>
      </c>
      <c r="F28" s="2">
        <f t="shared" si="0"/>
        <v>45769</v>
      </c>
      <c r="G28">
        <f t="shared" si="1"/>
        <v>7</v>
      </c>
      <c r="H28" t="str">
        <f t="shared" si="2"/>
        <v>Tuesday</v>
      </c>
      <c r="I28" t="str">
        <f t="shared" si="3"/>
        <v>Apr</v>
      </c>
    </row>
    <row r="29" spans="1:9" x14ac:dyDescent="0.35">
      <c r="A29">
        <v>28</v>
      </c>
      <c r="B29" s="1">
        <v>45919.271367660513</v>
      </c>
      <c r="C29" t="s">
        <v>15</v>
      </c>
      <c r="D29" t="s">
        <v>13</v>
      </c>
      <c r="E29" t="s">
        <v>12</v>
      </c>
      <c r="F29" s="2">
        <f t="shared" si="0"/>
        <v>45919</v>
      </c>
      <c r="G29">
        <f t="shared" si="1"/>
        <v>6</v>
      </c>
      <c r="H29" t="str">
        <f t="shared" si="2"/>
        <v>Friday</v>
      </c>
      <c r="I29" t="str">
        <f t="shared" si="3"/>
        <v>Sep</v>
      </c>
    </row>
    <row r="30" spans="1:9" x14ac:dyDescent="0.35">
      <c r="A30">
        <v>29</v>
      </c>
      <c r="B30" s="1">
        <v>45670.111508280439</v>
      </c>
      <c r="C30" t="s">
        <v>15</v>
      </c>
      <c r="D30" t="s">
        <v>13</v>
      </c>
      <c r="E30" t="s">
        <v>12</v>
      </c>
      <c r="F30" s="2">
        <f t="shared" si="0"/>
        <v>45670</v>
      </c>
      <c r="G30">
        <f t="shared" si="1"/>
        <v>2</v>
      </c>
      <c r="H30" t="str">
        <f t="shared" si="2"/>
        <v>Monday</v>
      </c>
      <c r="I30" t="str">
        <f t="shared" si="3"/>
        <v>Jan</v>
      </c>
    </row>
    <row r="31" spans="1:9" x14ac:dyDescent="0.35">
      <c r="A31">
        <v>30</v>
      </c>
      <c r="B31" s="1">
        <v>45788.964566896677</v>
      </c>
      <c r="C31" t="s">
        <v>10</v>
      </c>
      <c r="D31" t="s">
        <v>13</v>
      </c>
      <c r="E31" t="s">
        <v>12</v>
      </c>
      <c r="F31" s="2">
        <f t="shared" si="0"/>
        <v>45788</v>
      </c>
      <c r="G31">
        <f t="shared" si="1"/>
        <v>23</v>
      </c>
      <c r="H31" t="str">
        <f t="shared" si="2"/>
        <v>Sunday</v>
      </c>
      <c r="I31" t="str">
        <f t="shared" si="3"/>
        <v>May</v>
      </c>
    </row>
    <row r="32" spans="1:9" x14ac:dyDescent="0.35">
      <c r="A32">
        <v>31</v>
      </c>
      <c r="B32" s="1">
        <v>45678.252974528448</v>
      </c>
      <c r="C32" t="s">
        <v>10</v>
      </c>
      <c r="D32" t="s">
        <v>11</v>
      </c>
      <c r="E32" t="s">
        <v>7</v>
      </c>
      <c r="F32" s="2">
        <f t="shared" si="0"/>
        <v>45678</v>
      </c>
      <c r="G32">
        <f t="shared" si="1"/>
        <v>6</v>
      </c>
      <c r="H32" t="str">
        <f t="shared" si="2"/>
        <v>Tuesday</v>
      </c>
      <c r="I32" t="str">
        <f t="shared" si="3"/>
        <v>Jan</v>
      </c>
    </row>
    <row r="33" spans="1:9" x14ac:dyDescent="0.35">
      <c r="A33">
        <v>32</v>
      </c>
      <c r="B33" s="1">
        <v>46019.417814034401</v>
      </c>
      <c r="C33" t="s">
        <v>14</v>
      </c>
      <c r="D33" t="s">
        <v>13</v>
      </c>
      <c r="E33" t="s">
        <v>12</v>
      </c>
      <c r="F33" s="2">
        <f t="shared" si="0"/>
        <v>46019</v>
      </c>
      <c r="G33">
        <f t="shared" si="1"/>
        <v>10</v>
      </c>
      <c r="H33" t="str">
        <f t="shared" si="2"/>
        <v>Sunday</v>
      </c>
      <c r="I33" t="str">
        <f t="shared" si="3"/>
        <v>Dec</v>
      </c>
    </row>
    <row r="34" spans="1:9" x14ac:dyDescent="0.35">
      <c r="A34">
        <v>33</v>
      </c>
      <c r="B34" s="1">
        <v>45994.064829206174</v>
      </c>
      <c r="C34" t="s">
        <v>8</v>
      </c>
      <c r="D34" t="s">
        <v>11</v>
      </c>
      <c r="E34" t="s">
        <v>7</v>
      </c>
      <c r="F34" s="2">
        <f t="shared" si="0"/>
        <v>45994</v>
      </c>
      <c r="G34">
        <f t="shared" si="1"/>
        <v>1</v>
      </c>
      <c r="H34" t="str">
        <f t="shared" si="2"/>
        <v>Wednesday</v>
      </c>
      <c r="I34" t="str">
        <f t="shared" si="3"/>
        <v>Dec</v>
      </c>
    </row>
    <row r="35" spans="1:9" x14ac:dyDescent="0.35">
      <c r="A35">
        <v>34</v>
      </c>
      <c r="B35" s="1">
        <v>45745.023055786063</v>
      </c>
      <c r="C35" t="s">
        <v>5</v>
      </c>
      <c r="D35" t="s">
        <v>6</v>
      </c>
      <c r="E35" t="s">
        <v>12</v>
      </c>
      <c r="F35" s="2">
        <f t="shared" si="0"/>
        <v>45745</v>
      </c>
      <c r="G35">
        <f t="shared" si="1"/>
        <v>0</v>
      </c>
      <c r="H35" t="str">
        <f t="shared" si="2"/>
        <v>Saturday</v>
      </c>
      <c r="I35" t="str">
        <f t="shared" si="3"/>
        <v>Mar</v>
      </c>
    </row>
    <row r="36" spans="1:9" x14ac:dyDescent="0.35">
      <c r="A36">
        <v>35</v>
      </c>
      <c r="B36" s="1">
        <v>45710.618351807658</v>
      </c>
      <c r="C36" t="s">
        <v>15</v>
      </c>
      <c r="D36" t="s">
        <v>6</v>
      </c>
      <c r="E36" t="s">
        <v>7</v>
      </c>
      <c r="F36" s="2">
        <f t="shared" si="0"/>
        <v>45710</v>
      </c>
      <c r="G36">
        <f t="shared" si="1"/>
        <v>14</v>
      </c>
      <c r="H36" t="str">
        <f t="shared" si="2"/>
        <v>Saturday</v>
      </c>
      <c r="I36" t="str">
        <f t="shared" si="3"/>
        <v>Feb</v>
      </c>
    </row>
    <row r="37" spans="1:9" x14ac:dyDescent="0.35">
      <c r="A37">
        <v>36</v>
      </c>
      <c r="B37" s="1">
        <v>45981.288535549982</v>
      </c>
      <c r="C37" t="s">
        <v>15</v>
      </c>
      <c r="D37" t="s">
        <v>11</v>
      </c>
      <c r="E37" t="s">
        <v>7</v>
      </c>
      <c r="F37" s="2">
        <f t="shared" si="0"/>
        <v>45981</v>
      </c>
      <c r="G37">
        <f t="shared" si="1"/>
        <v>6</v>
      </c>
      <c r="H37" t="str">
        <f t="shared" si="2"/>
        <v>Thursday</v>
      </c>
      <c r="I37" t="str">
        <f t="shared" si="3"/>
        <v>Nov</v>
      </c>
    </row>
    <row r="38" spans="1:9" x14ac:dyDescent="0.35">
      <c r="A38">
        <v>37</v>
      </c>
      <c r="B38" s="1">
        <v>45667.000931121103</v>
      </c>
      <c r="C38" t="s">
        <v>8</v>
      </c>
      <c r="D38" t="s">
        <v>6</v>
      </c>
      <c r="E38" t="s">
        <v>12</v>
      </c>
      <c r="F38" s="2">
        <f t="shared" si="0"/>
        <v>45667</v>
      </c>
      <c r="G38">
        <f t="shared" si="1"/>
        <v>0</v>
      </c>
      <c r="H38" t="str">
        <f t="shared" si="2"/>
        <v>Friday</v>
      </c>
      <c r="I38" t="str">
        <f t="shared" si="3"/>
        <v>Jan</v>
      </c>
    </row>
    <row r="39" spans="1:9" x14ac:dyDescent="0.35">
      <c r="A39">
        <v>38</v>
      </c>
      <c r="B39" s="1">
        <v>45948.849169828492</v>
      </c>
      <c r="C39" t="s">
        <v>15</v>
      </c>
      <c r="D39" t="s">
        <v>9</v>
      </c>
      <c r="E39" t="s">
        <v>7</v>
      </c>
      <c r="F39" s="2">
        <f t="shared" si="0"/>
        <v>45948</v>
      </c>
      <c r="G39">
        <f t="shared" si="1"/>
        <v>20</v>
      </c>
      <c r="H39" t="str">
        <f t="shared" si="2"/>
        <v>Saturday</v>
      </c>
      <c r="I39" t="str">
        <f t="shared" si="3"/>
        <v>Oct</v>
      </c>
    </row>
    <row r="40" spans="1:9" x14ac:dyDescent="0.35">
      <c r="A40">
        <v>39</v>
      </c>
      <c r="B40" s="1">
        <v>45680.157682086763</v>
      </c>
      <c r="C40" t="s">
        <v>8</v>
      </c>
      <c r="D40" t="s">
        <v>9</v>
      </c>
      <c r="E40" t="s">
        <v>12</v>
      </c>
      <c r="F40" s="2">
        <f t="shared" si="0"/>
        <v>45680</v>
      </c>
      <c r="G40">
        <f t="shared" si="1"/>
        <v>3</v>
      </c>
      <c r="H40" t="str">
        <f t="shared" si="2"/>
        <v>Thursday</v>
      </c>
      <c r="I40" t="str">
        <f t="shared" si="3"/>
        <v>Jan</v>
      </c>
    </row>
    <row r="41" spans="1:9" x14ac:dyDescent="0.35">
      <c r="A41">
        <v>40</v>
      </c>
      <c r="B41" s="1">
        <v>45980.954873537048</v>
      </c>
      <c r="C41" t="s">
        <v>8</v>
      </c>
      <c r="D41" t="s">
        <v>13</v>
      </c>
      <c r="E41" t="s">
        <v>12</v>
      </c>
      <c r="F41" s="2">
        <f t="shared" si="0"/>
        <v>45980</v>
      </c>
      <c r="G41">
        <f t="shared" si="1"/>
        <v>22</v>
      </c>
      <c r="H41" t="str">
        <f t="shared" si="2"/>
        <v>Wednesday</v>
      </c>
      <c r="I41" t="str">
        <f t="shared" si="3"/>
        <v>Nov</v>
      </c>
    </row>
    <row r="42" spans="1:9" x14ac:dyDescent="0.35">
      <c r="A42">
        <v>41</v>
      </c>
      <c r="B42" s="1">
        <v>45861.414916841728</v>
      </c>
      <c r="C42" t="s">
        <v>5</v>
      </c>
      <c r="D42" t="s">
        <v>11</v>
      </c>
      <c r="E42" t="s">
        <v>7</v>
      </c>
      <c r="F42" s="2">
        <f t="shared" si="0"/>
        <v>45861</v>
      </c>
      <c r="G42">
        <f t="shared" si="1"/>
        <v>9</v>
      </c>
      <c r="H42" t="str">
        <f t="shared" si="2"/>
        <v>Wednesday</v>
      </c>
      <c r="I42" t="str">
        <f t="shared" si="3"/>
        <v>Jul</v>
      </c>
    </row>
    <row r="43" spans="1:9" x14ac:dyDescent="0.35">
      <c r="A43">
        <v>42</v>
      </c>
      <c r="B43" s="1">
        <v>45952.722775400332</v>
      </c>
      <c r="C43" t="s">
        <v>15</v>
      </c>
      <c r="D43" t="s">
        <v>13</v>
      </c>
      <c r="E43" t="s">
        <v>7</v>
      </c>
      <c r="F43" s="2">
        <f t="shared" si="0"/>
        <v>45952</v>
      </c>
      <c r="G43">
        <f t="shared" si="1"/>
        <v>17</v>
      </c>
      <c r="H43" t="str">
        <f t="shared" si="2"/>
        <v>Wednesday</v>
      </c>
      <c r="I43" t="str">
        <f t="shared" si="3"/>
        <v>Oct</v>
      </c>
    </row>
    <row r="44" spans="1:9" x14ac:dyDescent="0.35">
      <c r="A44">
        <v>43</v>
      </c>
      <c r="B44" s="1">
        <v>45941.970784192243</v>
      </c>
      <c r="C44" t="s">
        <v>15</v>
      </c>
      <c r="D44" t="s">
        <v>9</v>
      </c>
      <c r="E44" t="s">
        <v>12</v>
      </c>
      <c r="F44" s="2">
        <f t="shared" si="0"/>
        <v>45941</v>
      </c>
      <c r="G44">
        <f t="shared" si="1"/>
        <v>23</v>
      </c>
      <c r="H44" t="str">
        <f t="shared" si="2"/>
        <v>Saturday</v>
      </c>
      <c r="I44" t="str">
        <f t="shared" si="3"/>
        <v>Oct</v>
      </c>
    </row>
    <row r="45" spans="1:9" x14ac:dyDescent="0.35">
      <c r="A45">
        <v>44</v>
      </c>
      <c r="B45" s="1">
        <v>45686.330089297713</v>
      </c>
      <c r="C45" t="s">
        <v>8</v>
      </c>
      <c r="D45" t="s">
        <v>13</v>
      </c>
      <c r="E45" t="s">
        <v>7</v>
      </c>
      <c r="F45" s="2">
        <f t="shared" si="0"/>
        <v>45686</v>
      </c>
      <c r="G45">
        <f t="shared" si="1"/>
        <v>7</v>
      </c>
      <c r="H45" t="str">
        <f t="shared" si="2"/>
        <v>Wednesday</v>
      </c>
      <c r="I45" t="str">
        <f t="shared" si="3"/>
        <v>Jan</v>
      </c>
    </row>
    <row r="46" spans="1:9" x14ac:dyDescent="0.35">
      <c r="A46">
        <v>45</v>
      </c>
      <c r="B46" s="1">
        <v>45713.875361218903</v>
      </c>
      <c r="C46" t="s">
        <v>5</v>
      </c>
      <c r="D46" t="s">
        <v>11</v>
      </c>
      <c r="E46" t="s">
        <v>7</v>
      </c>
      <c r="F46" s="2">
        <f t="shared" si="0"/>
        <v>45713</v>
      </c>
      <c r="G46">
        <f t="shared" si="1"/>
        <v>21</v>
      </c>
      <c r="H46" t="str">
        <f t="shared" si="2"/>
        <v>Tuesday</v>
      </c>
      <c r="I46" t="str">
        <f t="shared" si="3"/>
        <v>Feb</v>
      </c>
    </row>
    <row r="47" spans="1:9" x14ac:dyDescent="0.35">
      <c r="A47">
        <v>46</v>
      </c>
      <c r="B47" s="1">
        <v>45864.720986450877</v>
      </c>
      <c r="C47" t="s">
        <v>8</v>
      </c>
      <c r="D47" t="s">
        <v>6</v>
      </c>
      <c r="E47" t="s">
        <v>12</v>
      </c>
      <c r="F47" s="2">
        <f t="shared" si="0"/>
        <v>45864</v>
      </c>
      <c r="G47">
        <f t="shared" si="1"/>
        <v>17</v>
      </c>
      <c r="H47" t="str">
        <f t="shared" si="2"/>
        <v>Saturday</v>
      </c>
      <c r="I47" t="str">
        <f t="shared" si="3"/>
        <v>Jul</v>
      </c>
    </row>
    <row r="48" spans="1:9" x14ac:dyDescent="0.35">
      <c r="A48">
        <v>47</v>
      </c>
      <c r="B48" s="1">
        <v>46019.780549910072</v>
      </c>
      <c r="C48" t="s">
        <v>8</v>
      </c>
      <c r="D48" t="s">
        <v>11</v>
      </c>
      <c r="E48" t="s">
        <v>12</v>
      </c>
      <c r="F48" s="2">
        <f t="shared" si="0"/>
        <v>46019</v>
      </c>
      <c r="G48">
        <f t="shared" si="1"/>
        <v>18</v>
      </c>
      <c r="H48" t="str">
        <f t="shared" si="2"/>
        <v>Sunday</v>
      </c>
      <c r="I48" t="str">
        <f t="shared" si="3"/>
        <v>Dec</v>
      </c>
    </row>
    <row r="49" spans="1:9" x14ac:dyDescent="0.35">
      <c r="A49">
        <v>48</v>
      </c>
      <c r="B49" s="1">
        <v>45840.944464172906</v>
      </c>
      <c r="C49" t="s">
        <v>15</v>
      </c>
      <c r="D49" t="s">
        <v>9</v>
      </c>
      <c r="E49" t="s">
        <v>12</v>
      </c>
      <c r="F49" s="2">
        <f t="shared" si="0"/>
        <v>45840</v>
      </c>
      <c r="G49">
        <f t="shared" si="1"/>
        <v>22</v>
      </c>
      <c r="H49" t="str">
        <f t="shared" si="2"/>
        <v>Wednesday</v>
      </c>
      <c r="I49" t="str">
        <f t="shared" si="3"/>
        <v>Jul</v>
      </c>
    </row>
    <row r="50" spans="1:9" x14ac:dyDescent="0.35">
      <c r="A50">
        <v>49</v>
      </c>
      <c r="B50" s="1">
        <v>45678.896116995616</v>
      </c>
      <c r="C50" t="s">
        <v>5</v>
      </c>
      <c r="D50" t="s">
        <v>13</v>
      </c>
      <c r="E50" t="s">
        <v>7</v>
      </c>
      <c r="F50" s="2">
        <f t="shared" si="0"/>
        <v>45678</v>
      </c>
      <c r="G50">
        <f t="shared" si="1"/>
        <v>21</v>
      </c>
      <c r="H50" t="str">
        <f t="shared" si="2"/>
        <v>Tuesday</v>
      </c>
      <c r="I50" t="str">
        <f t="shared" si="3"/>
        <v>Jan</v>
      </c>
    </row>
    <row r="51" spans="1:9" x14ac:dyDescent="0.35">
      <c r="A51">
        <v>50</v>
      </c>
      <c r="B51" s="1">
        <v>45670.39806079019</v>
      </c>
      <c r="C51" t="s">
        <v>5</v>
      </c>
      <c r="D51" t="s">
        <v>13</v>
      </c>
      <c r="E51" t="s">
        <v>12</v>
      </c>
      <c r="F51" s="2">
        <f t="shared" si="0"/>
        <v>45670</v>
      </c>
      <c r="G51">
        <f t="shared" si="1"/>
        <v>9</v>
      </c>
      <c r="H51" t="str">
        <f t="shared" si="2"/>
        <v>Monday</v>
      </c>
      <c r="I51" t="str">
        <f t="shared" si="3"/>
        <v>Jan</v>
      </c>
    </row>
    <row r="52" spans="1:9" x14ac:dyDescent="0.35">
      <c r="A52">
        <v>51</v>
      </c>
      <c r="B52" s="1">
        <v>45690.903701016199</v>
      </c>
      <c r="C52" t="s">
        <v>14</v>
      </c>
      <c r="D52" t="s">
        <v>13</v>
      </c>
      <c r="E52" t="s">
        <v>12</v>
      </c>
      <c r="F52" s="2">
        <f t="shared" si="0"/>
        <v>45690</v>
      </c>
      <c r="G52">
        <f t="shared" si="1"/>
        <v>21</v>
      </c>
      <c r="H52" t="str">
        <f t="shared" si="2"/>
        <v>Sunday</v>
      </c>
      <c r="I52" t="str">
        <f t="shared" si="3"/>
        <v>Feb</v>
      </c>
    </row>
    <row r="53" spans="1:9" x14ac:dyDescent="0.35">
      <c r="A53">
        <v>52</v>
      </c>
      <c r="B53" s="1">
        <v>45791.272854400289</v>
      </c>
      <c r="C53" t="s">
        <v>14</v>
      </c>
      <c r="D53" t="s">
        <v>13</v>
      </c>
      <c r="E53" t="s">
        <v>12</v>
      </c>
      <c r="F53" s="2">
        <f t="shared" si="0"/>
        <v>45791</v>
      </c>
      <c r="G53">
        <f t="shared" si="1"/>
        <v>6</v>
      </c>
      <c r="H53" t="str">
        <f t="shared" si="2"/>
        <v>Wednesday</v>
      </c>
      <c r="I53" t="str">
        <f t="shared" si="3"/>
        <v>May</v>
      </c>
    </row>
    <row r="54" spans="1:9" x14ac:dyDescent="0.35">
      <c r="A54">
        <v>53</v>
      </c>
      <c r="B54" s="1">
        <v>45934.669942355344</v>
      </c>
      <c r="C54" t="s">
        <v>14</v>
      </c>
      <c r="D54" t="s">
        <v>6</v>
      </c>
      <c r="E54" t="s">
        <v>12</v>
      </c>
      <c r="F54" s="2">
        <f t="shared" si="0"/>
        <v>45934</v>
      </c>
      <c r="G54">
        <f t="shared" si="1"/>
        <v>16</v>
      </c>
      <c r="H54" t="str">
        <f t="shared" si="2"/>
        <v>Saturday</v>
      </c>
      <c r="I54" t="str">
        <f t="shared" si="3"/>
        <v>Oct</v>
      </c>
    </row>
    <row r="55" spans="1:9" x14ac:dyDescent="0.35">
      <c r="A55">
        <v>54</v>
      </c>
      <c r="B55" s="1">
        <v>45905.154717879937</v>
      </c>
      <c r="C55" t="s">
        <v>8</v>
      </c>
      <c r="D55" t="s">
        <v>11</v>
      </c>
      <c r="E55" t="s">
        <v>12</v>
      </c>
      <c r="F55" s="2">
        <f t="shared" si="0"/>
        <v>45905</v>
      </c>
      <c r="G55">
        <f t="shared" si="1"/>
        <v>3</v>
      </c>
      <c r="H55" t="str">
        <f t="shared" si="2"/>
        <v>Friday</v>
      </c>
      <c r="I55" t="str">
        <f t="shared" si="3"/>
        <v>Sep</v>
      </c>
    </row>
    <row r="56" spans="1:9" x14ac:dyDescent="0.35">
      <c r="A56">
        <v>55</v>
      </c>
      <c r="B56" s="1">
        <v>45935.793545926688</v>
      </c>
      <c r="C56" t="s">
        <v>10</v>
      </c>
      <c r="D56" t="s">
        <v>9</v>
      </c>
      <c r="E56" t="s">
        <v>12</v>
      </c>
      <c r="F56" s="2">
        <f t="shared" si="0"/>
        <v>45935</v>
      </c>
      <c r="G56">
        <f t="shared" si="1"/>
        <v>19</v>
      </c>
      <c r="H56" t="str">
        <f t="shared" si="2"/>
        <v>Sunday</v>
      </c>
      <c r="I56" t="str">
        <f t="shared" si="3"/>
        <v>Oct</v>
      </c>
    </row>
    <row r="57" spans="1:9" x14ac:dyDescent="0.35">
      <c r="A57">
        <v>56</v>
      </c>
      <c r="B57" s="1">
        <v>45707.312080862474</v>
      </c>
      <c r="C57" t="s">
        <v>8</v>
      </c>
      <c r="D57" t="s">
        <v>13</v>
      </c>
      <c r="E57" t="s">
        <v>7</v>
      </c>
      <c r="F57" s="2">
        <f t="shared" si="0"/>
        <v>45707</v>
      </c>
      <c r="G57">
        <f t="shared" si="1"/>
        <v>7</v>
      </c>
      <c r="H57" t="str">
        <f t="shared" si="2"/>
        <v>Wednesday</v>
      </c>
      <c r="I57" t="str">
        <f t="shared" si="3"/>
        <v>Feb</v>
      </c>
    </row>
    <row r="58" spans="1:9" x14ac:dyDescent="0.35">
      <c r="A58">
        <v>57</v>
      </c>
      <c r="B58" s="1">
        <v>45662.687707887031</v>
      </c>
      <c r="C58" t="s">
        <v>14</v>
      </c>
      <c r="D58" t="s">
        <v>9</v>
      </c>
      <c r="E58" t="s">
        <v>12</v>
      </c>
      <c r="F58" s="2">
        <f t="shared" si="0"/>
        <v>45662</v>
      </c>
      <c r="G58">
        <f t="shared" si="1"/>
        <v>16</v>
      </c>
      <c r="H58" t="str">
        <f t="shared" si="2"/>
        <v>Sunday</v>
      </c>
      <c r="I58" t="str">
        <f t="shared" si="3"/>
        <v>Jan</v>
      </c>
    </row>
    <row r="59" spans="1:9" x14ac:dyDescent="0.35">
      <c r="A59">
        <v>58</v>
      </c>
      <c r="B59" s="1">
        <v>45839.861809760034</v>
      </c>
      <c r="C59" t="s">
        <v>8</v>
      </c>
      <c r="D59" t="s">
        <v>6</v>
      </c>
      <c r="E59" t="s">
        <v>12</v>
      </c>
      <c r="F59" s="2">
        <f t="shared" si="0"/>
        <v>45839</v>
      </c>
      <c r="G59">
        <f t="shared" si="1"/>
        <v>20</v>
      </c>
      <c r="H59" t="str">
        <f t="shared" si="2"/>
        <v>Tuesday</v>
      </c>
      <c r="I59" t="str">
        <f t="shared" si="3"/>
        <v>Jul</v>
      </c>
    </row>
    <row r="60" spans="1:9" x14ac:dyDescent="0.35">
      <c r="A60">
        <v>59</v>
      </c>
      <c r="B60" s="1">
        <v>45662.545811528063</v>
      </c>
      <c r="C60" t="s">
        <v>15</v>
      </c>
      <c r="D60" t="s">
        <v>9</v>
      </c>
      <c r="E60" t="s">
        <v>7</v>
      </c>
      <c r="F60" s="2">
        <f t="shared" si="0"/>
        <v>45662</v>
      </c>
      <c r="G60">
        <f t="shared" si="1"/>
        <v>13</v>
      </c>
      <c r="H60" t="str">
        <f t="shared" si="2"/>
        <v>Sunday</v>
      </c>
      <c r="I60" t="str">
        <f t="shared" si="3"/>
        <v>Jan</v>
      </c>
    </row>
    <row r="61" spans="1:9" x14ac:dyDescent="0.35">
      <c r="A61">
        <v>60</v>
      </c>
      <c r="B61" s="1">
        <v>46022.854411397049</v>
      </c>
      <c r="C61" t="s">
        <v>5</v>
      </c>
      <c r="D61" t="s">
        <v>13</v>
      </c>
      <c r="E61" t="s">
        <v>7</v>
      </c>
      <c r="F61" s="2">
        <f t="shared" si="0"/>
        <v>46022</v>
      </c>
      <c r="G61">
        <f t="shared" si="1"/>
        <v>20</v>
      </c>
      <c r="H61" t="str">
        <f t="shared" si="2"/>
        <v>Wednesday</v>
      </c>
      <c r="I61" t="str">
        <f t="shared" si="3"/>
        <v>Dec</v>
      </c>
    </row>
    <row r="62" spans="1:9" x14ac:dyDescent="0.35">
      <c r="A62">
        <v>61</v>
      </c>
      <c r="B62" s="1">
        <v>45809.284286766379</v>
      </c>
      <c r="C62" t="s">
        <v>5</v>
      </c>
      <c r="D62" t="s">
        <v>13</v>
      </c>
      <c r="E62" t="s">
        <v>12</v>
      </c>
      <c r="F62" s="2">
        <f t="shared" si="0"/>
        <v>45809</v>
      </c>
      <c r="G62">
        <f t="shared" si="1"/>
        <v>6</v>
      </c>
      <c r="H62" t="str">
        <f t="shared" si="2"/>
        <v>Sunday</v>
      </c>
      <c r="I62" t="str">
        <f t="shared" si="3"/>
        <v>Jun</v>
      </c>
    </row>
    <row r="63" spans="1:9" x14ac:dyDescent="0.35">
      <c r="A63">
        <v>62</v>
      </c>
      <c r="B63" s="1">
        <v>46022.359405756637</v>
      </c>
      <c r="C63" t="s">
        <v>8</v>
      </c>
      <c r="D63" t="s">
        <v>13</v>
      </c>
      <c r="E63" t="s">
        <v>12</v>
      </c>
      <c r="F63" s="2">
        <f t="shared" si="0"/>
        <v>46022</v>
      </c>
      <c r="G63">
        <f t="shared" si="1"/>
        <v>8</v>
      </c>
      <c r="H63" t="str">
        <f t="shared" si="2"/>
        <v>Wednesday</v>
      </c>
      <c r="I63" t="str">
        <f t="shared" si="3"/>
        <v>Dec</v>
      </c>
    </row>
    <row r="64" spans="1:9" x14ac:dyDescent="0.35">
      <c r="A64">
        <v>63</v>
      </c>
      <c r="B64" s="1">
        <v>45810.854028187598</v>
      </c>
      <c r="C64" t="s">
        <v>15</v>
      </c>
      <c r="D64" t="s">
        <v>9</v>
      </c>
      <c r="E64" t="s">
        <v>7</v>
      </c>
      <c r="F64" s="2">
        <f t="shared" si="0"/>
        <v>45810</v>
      </c>
      <c r="G64">
        <f t="shared" si="1"/>
        <v>20</v>
      </c>
      <c r="H64" t="str">
        <f t="shared" si="2"/>
        <v>Monday</v>
      </c>
      <c r="I64" t="str">
        <f t="shared" si="3"/>
        <v>Jun</v>
      </c>
    </row>
    <row r="65" spans="1:9" x14ac:dyDescent="0.35">
      <c r="A65">
        <v>64</v>
      </c>
      <c r="B65" s="1">
        <v>45685.424400690492</v>
      </c>
      <c r="C65" t="s">
        <v>8</v>
      </c>
      <c r="D65" t="s">
        <v>6</v>
      </c>
      <c r="E65" t="s">
        <v>12</v>
      </c>
      <c r="F65" s="2">
        <f t="shared" si="0"/>
        <v>45685</v>
      </c>
      <c r="G65">
        <f t="shared" si="1"/>
        <v>10</v>
      </c>
      <c r="H65" t="str">
        <f t="shared" si="2"/>
        <v>Tuesday</v>
      </c>
      <c r="I65" t="str">
        <f t="shared" si="3"/>
        <v>Jan</v>
      </c>
    </row>
    <row r="66" spans="1:9" x14ac:dyDescent="0.35">
      <c r="A66">
        <v>65</v>
      </c>
      <c r="B66" s="1">
        <v>45842.693155560351</v>
      </c>
      <c r="C66" t="s">
        <v>8</v>
      </c>
      <c r="D66" t="s">
        <v>11</v>
      </c>
      <c r="E66" t="s">
        <v>12</v>
      </c>
      <c r="F66" s="2">
        <f t="shared" si="0"/>
        <v>45842</v>
      </c>
      <c r="G66">
        <f t="shared" si="1"/>
        <v>16</v>
      </c>
      <c r="H66" t="str">
        <f t="shared" si="2"/>
        <v>Friday</v>
      </c>
      <c r="I66" t="str">
        <f t="shared" si="3"/>
        <v>Jul</v>
      </c>
    </row>
    <row r="67" spans="1:9" x14ac:dyDescent="0.35">
      <c r="A67">
        <v>66</v>
      </c>
      <c r="B67" s="1">
        <v>45897.708715723544</v>
      </c>
      <c r="C67" t="s">
        <v>10</v>
      </c>
      <c r="D67" t="s">
        <v>13</v>
      </c>
      <c r="E67" t="s">
        <v>12</v>
      </c>
      <c r="F67" s="2">
        <f t="shared" ref="F67:F130" si="4">INT(B67)</f>
        <v>45897</v>
      </c>
      <c r="G67">
        <f t="shared" ref="G67:G130" si="5">HOUR(B67)</f>
        <v>17</v>
      </c>
      <c r="H67" t="str">
        <f t="shared" ref="H67:H130" si="6">TEXT(B67, "dddd")</f>
        <v>Thursday</v>
      </c>
      <c r="I67" t="str">
        <f t="shared" ref="I67:I130" si="7">TEXT(B67, "mmm")</f>
        <v>Aug</v>
      </c>
    </row>
    <row r="68" spans="1:9" x14ac:dyDescent="0.35">
      <c r="A68">
        <v>67</v>
      </c>
      <c r="B68" s="1">
        <v>45727.160869009836</v>
      </c>
      <c r="C68" t="s">
        <v>8</v>
      </c>
      <c r="D68" t="s">
        <v>6</v>
      </c>
      <c r="E68" t="s">
        <v>12</v>
      </c>
      <c r="F68" s="2">
        <f t="shared" si="4"/>
        <v>45727</v>
      </c>
      <c r="G68">
        <f t="shared" si="5"/>
        <v>3</v>
      </c>
      <c r="H68" t="str">
        <f t="shared" si="6"/>
        <v>Tuesday</v>
      </c>
      <c r="I68" t="str">
        <f t="shared" si="7"/>
        <v>Mar</v>
      </c>
    </row>
    <row r="69" spans="1:9" x14ac:dyDescent="0.35">
      <c r="A69">
        <v>68</v>
      </c>
      <c r="B69" s="1">
        <v>45769.925398377629</v>
      </c>
      <c r="C69" t="s">
        <v>8</v>
      </c>
      <c r="D69" t="s">
        <v>13</v>
      </c>
      <c r="E69" t="s">
        <v>12</v>
      </c>
      <c r="F69" s="2">
        <f t="shared" si="4"/>
        <v>45769</v>
      </c>
      <c r="G69">
        <f t="shared" si="5"/>
        <v>22</v>
      </c>
      <c r="H69" t="str">
        <f t="shared" si="6"/>
        <v>Tuesday</v>
      </c>
      <c r="I69" t="str">
        <f t="shared" si="7"/>
        <v>Apr</v>
      </c>
    </row>
    <row r="70" spans="1:9" x14ac:dyDescent="0.35">
      <c r="A70">
        <v>69</v>
      </c>
      <c r="B70" s="1">
        <v>45687.671984651563</v>
      </c>
      <c r="C70" t="s">
        <v>10</v>
      </c>
      <c r="D70" t="s">
        <v>6</v>
      </c>
      <c r="E70" t="s">
        <v>12</v>
      </c>
      <c r="F70" s="2">
        <f t="shared" si="4"/>
        <v>45687</v>
      </c>
      <c r="G70">
        <f t="shared" si="5"/>
        <v>16</v>
      </c>
      <c r="H70" t="str">
        <f t="shared" si="6"/>
        <v>Thursday</v>
      </c>
      <c r="I70" t="str">
        <f t="shared" si="7"/>
        <v>Jan</v>
      </c>
    </row>
    <row r="71" spans="1:9" x14ac:dyDescent="0.35">
      <c r="A71">
        <v>70</v>
      </c>
      <c r="B71" s="1">
        <v>45885.389128957991</v>
      </c>
      <c r="C71" t="s">
        <v>14</v>
      </c>
      <c r="D71" t="s">
        <v>13</v>
      </c>
      <c r="E71" t="s">
        <v>12</v>
      </c>
      <c r="F71" s="2">
        <f t="shared" si="4"/>
        <v>45885</v>
      </c>
      <c r="G71">
        <f t="shared" si="5"/>
        <v>9</v>
      </c>
      <c r="H71" t="str">
        <f t="shared" si="6"/>
        <v>Saturday</v>
      </c>
      <c r="I71" t="str">
        <f t="shared" si="7"/>
        <v>Aug</v>
      </c>
    </row>
    <row r="72" spans="1:9" x14ac:dyDescent="0.35">
      <c r="A72">
        <v>71</v>
      </c>
      <c r="B72" s="1">
        <v>46005.190108830859</v>
      </c>
      <c r="C72" t="s">
        <v>15</v>
      </c>
      <c r="D72" t="s">
        <v>13</v>
      </c>
      <c r="E72" t="s">
        <v>12</v>
      </c>
      <c r="F72" s="2">
        <f t="shared" si="4"/>
        <v>46005</v>
      </c>
      <c r="G72">
        <f t="shared" si="5"/>
        <v>4</v>
      </c>
      <c r="H72" t="str">
        <f t="shared" si="6"/>
        <v>Sunday</v>
      </c>
      <c r="I72" t="str">
        <f t="shared" si="7"/>
        <v>Dec</v>
      </c>
    </row>
    <row r="73" spans="1:9" x14ac:dyDescent="0.35">
      <c r="A73">
        <v>72</v>
      </c>
      <c r="B73" s="1">
        <v>45870.392234216459</v>
      </c>
      <c r="C73" t="s">
        <v>15</v>
      </c>
      <c r="D73" t="s">
        <v>9</v>
      </c>
      <c r="E73" t="s">
        <v>12</v>
      </c>
      <c r="F73" s="2">
        <f t="shared" si="4"/>
        <v>45870</v>
      </c>
      <c r="G73">
        <f t="shared" si="5"/>
        <v>9</v>
      </c>
      <c r="H73" t="str">
        <f t="shared" si="6"/>
        <v>Friday</v>
      </c>
      <c r="I73" t="str">
        <f t="shared" si="7"/>
        <v>Aug</v>
      </c>
    </row>
    <row r="74" spans="1:9" x14ac:dyDescent="0.35">
      <c r="A74">
        <v>73</v>
      </c>
      <c r="B74" s="1">
        <v>45988.044361722001</v>
      </c>
      <c r="C74" t="s">
        <v>14</v>
      </c>
      <c r="D74" t="s">
        <v>11</v>
      </c>
      <c r="E74" t="s">
        <v>7</v>
      </c>
      <c r="F74" s="2">
        <f t="shared" si="4"/>
        <v>45988</v>
      </c>
      <c r="G74">
        <f t="shared" si="5"/>
        <v>1</v>
      </c>
      <c r="H74" t="str">
        <f t="shared" si="6"/>
        <v>Thursday</v>
      </c>
      <c r="I74" t="str">
        <f t="shared" si="7"/>
        <v>Nov</v>
      </c>
    </row>
    <row r="75" spans="1:9" x14ac:dyDescent="0.35">
      <c r="A75">
        <v>74</v>
      </c>
      <c r="B75" s="1">
        <v>45700.185384337405</v>
      </c>
      <c r="C75" t="s">
        <v>14</v>
      </c>
      <c r="D75" t="s">
        <v>13</v>
      </c>
      <c r="E75" t="s">
        <v>7</v>
      </c>
      <c r="F75" s="2">
        <f t="shared" si="4"/>
        <v>45700</v>
      </c>
      <c r="G75">
        <f t="shared" si="5"/>
        <v>4</v>
      </c>
      <c r="H75" t="str">
        <f t="shared" si="6"/>
        <v>Wednesday</v>
      </c>
      <c r="I75" t="str">
        <f t="shared" si="7"/>
        <v>Feb</v>
      </c>
    </row>
    <row r="76" spans="1:9" x14ac:dyDescent="0.35">
      <c r="A76">
        <v>75</v>
      </c>
      <c r="B76" s="1">
        <v>45756.655935100382</v>
      </c>
      <c r="C76" t="s">
        <v>10</v>
      </c>
      <c r="D76" t="s">
        <v>13</v>
      </c>
      <c r="E76" t="s">
        <v>12</v>
      </c>
      <c r="F76" s="2">
        <f t="shared" si="4"/>
        <v>45756</v>
      </c>
      <c r="G76">
        <f t="shared" si="5"/>
        <v>15</v>
      </c>
      <c r="H76" t="str">
        <f t="shared" si="6"/>
        <v>Wednesday</v>
      </c>
      <c r="I76" t="str">
        <f t="shared" si="7"/>
        <v>Apr</v>
      </c>
    </row>
    <row r="77" spans="1:9" x14ac:dyDescent="0.35">
      <c r="A77">
        <v>76</v>
      </c>
      <c r="B77" s="1">
        <v>45817.711762919258</v>
      </c>
      <c r="C77" t="s">
        <v>5</v>
      </c>
      <c r="D77" t="s">
        <v>6</v>
      </c>
      <c r="E77" t="s">
        <v>12</v>
      </c>
      <c r="F77" s="2">
        <f t="shared" si="4"/>
        <v>45817</v>
      </c>
      <c r="G77">
        <f t="shared" si="5"/>
        <v>17</v>
      </c>
      <c r="H77" t="str">
        <f t="shared" si="6"/>
        <v>Monday</v>
      </c>
      <c r="I77" t="str">
        <f t="shared" si="7"/>
        <v>Jun</v>
      </c>
    </row>
    <row r="78" spans="1:9" x14ac:dyDescent="0.35">
      <c r="A78">
        <v>77</v>
      </c>
      <c r="B78" s="1">
        <v>45739.577647342325</v>
      </c>
      <c r="C78" t="s">
        <v>10</v>
      </c>
      <c r="D78" t="s">
        <v>9</v>
      </c>
      <c r="E78" t="s">
        <v>7</v>
      </c>
      <c r="F78" s="2">
        <f t="shared" si="4"/>
        <v>45739</v>
      </c>
      <c r="G78">
        <f t="shared" si="5"/>
        <v>13</v>
      </c>
      <c r="H78" t="str">
        <f t="shared" si="6"/>
        <v>Sunday</v>
      </c>
      <c r="I78" t="str">
        <f t="shared" si="7"/>
        <v>Mar</v>
      </c>
    </row>
    <row r="79" spans="1:9" x14ac:dyDescent="0.35">
      <c r="A79">
        <v>78</v>
      </c>
      <c r="B79" s="1">
        <v>45872.663985543237</v>
      </c>
      <c r="C79" t="s">
        <v>5</v>
      </c>
      <c r="D79" t="s">
        <v>9</v>
      </c>
      <c r="E79" t="s">
        <v>7</v>
      </c>
      <c r="F79" s="2">
        <f t="shared" si="4"/>
        <v>45872</v>
      </c>
      <c r="G79">
        <f t="shared" si="5"/>
        <v>15</v>
      </c>
      <c r="H79" t="str">
        <f t="shared" si="6"/>
        <v>Sunday</v>
      </c>
      <c r="I79" t="str">
        <f t="shared" si="7"/>
        <v>Aug</v>
      </c>
    </row>
    <row r="80" spans="1:9" x14ac:dyDescent="0.35">
      <c r="A80">
        <v>79</v>
      </c>
      <c r="B80" s="1">
        <v>45861.2052157336</v>
      </c>
      <c r="C80" t="s">
        <v>15</v>
      </c>
      <c r="D80" t="s">
        <v>13</v>
      </c>
      <c r="E80" t="s">
        <v>12</v>
      </c>
      <c r="F80" s="2">
        <f t="shared" si="4"/>
        <v>45861</v>
      </c>
      <c r="G80">
        <f t="shared" si="5"/>
        <v>4</v>
      </c>
      <c r="H80" t="str">
        <f t="shared" si="6"/>
        <v>Wednesday</v>
      </c>
      <c r="I80" t="str">
        <f t="shared" si="7"/>
        <v>Jul</v>
      </c>
    </row>
    <row r="81" spans="1:9" x14ac:dyDescent="0.35">
      <c r="A81">
        <v>80</v>
      </c>
      <c r="B81" s="1">
        <v>45951.666039143114</v>
      </c>
      <c r="C81" t="s">
        <v>8</v>
      </c>
      <c r="D81" t="s">
        <v>9</v>
      </c>
      <c r="E81" t="s">
        <v>12</v>
      </c>
      <c r="F81" s="2">
        <f t="shared" si="4"/>
        <v>45951</v>
      </c>
      <c r="G81">
        <f t="shared" si="5"/>
        <v>15</v>
      </c>
      <c r="H81" t="str">
        <f t="shared" si="6"/>
        <v>Tuesday</v>
      </c>
      <c r="I81" t="str">
        <f t="shared" si="7"/>
        <v>Oct</v>
      </c>
    </row>
    <row r="82" spans="1:9" x14ac:dyDescent="0.35">
      <c r="A82">
        <v>81</v>
      </c>
      <c r="B82" s="1">
        <v>45942.15960460448</v>
      </c>
      <c r="C82" t="s">
        <v>10</v>
      </c>
      <c r="D82" t="s">
        <v>6</v>
      </c>
      <c r="E82" t="s">
        <v>7</v>
      </c>
      <c r="F82" s="2">
        <f t="shared" si="4"/>
        <v>45942</v>
      </c>
      <c r="G82">
        <f t="shared" si="5"/>
        <v>3</v>
      </c>
      <c r="H82" t="str">
        <f t="shared" si="6"/>
        <v>Sunday</v>
      </c>
      <c r="I82" t="str">
        <f t="shared" si="7"/>
        <v>Oct</v>
      </c>
    </row>
    <row r="83" spans="1:9" x14ac:dyDescent="0.35">
      <c r="A83">
        <v>82</v>
      </c>
      <c r="B83" s="1">
        <v>45868.266896700196</v>
      </c>
      <c r="C83" t="s">
        <v>14</v>
      </c>
      <c r="D83" t="s">
        <v>11</v>
      </c>
      <c r="E83" t="s">
        <v>7</v>
      </c>
      <c r="F83" s="2">
        <f t="shared" si="4"/>
        <v>45868</v>
      </c>
      <c r="G83">
        <f t="shared" si="5"/>
        <v>6</v>
      </c>
      <c r="H83" t="str">
        <f t="shared" si="6"/>
        <v>Wednesday</v>
      </c>
      <c r="I83" t="str">
        <f t="shared" si="7"/>
        <v>Jul</v>
      </c>
    </row>
    <row r="84" spans="1:9" x14ac:dyDescent="0.35">
      <c r="A84">
        <v>83</v>
      </c>
      <c r="B84" s="1">
        <v>45928.456604168634</v>
      </c>
      <c r="C84" t="s">
        <v>10</v>
      </c>
      <c r="D84" t="s">
        <v>13</v>
      </c>
      <c r="E84" t="s">
        <v>12</v>
      </c>
      <c r="F84" s="2">
        <f t="shared" si="4"/>
        <v>45928</v>
      </c>
      <c r="G84">
        <f t="shared" si="5"/>
        <v>10</v>
      </c>
      <c r="H84" t="str">
        <f t="shared" si="6"/>
        <v>Sunday</v>
      </c>
      <c r="I84" t="str">
        <f t="shared" si="7"/>
        <v>Sep</v>
      </c>
    </row>
    <row r="85" spans="1:9" x14ac:dyDescent="0.35">
      <c r="A85">
        <v>84</v>
      </c>
      <c r="B85" s="1">
        <v>45996.836306735378</v>
      </c>
      <c r="C85" t="s">
        <v>14</v>
      </c>
      <c r="D85" t="s">
        <v>6</v>
      </c>
      <c r="E85" t="s">
        <v>12</v>
      </c>
      <c r="F85" s="2">
        <f t="shared" si="4"/>
        <v>45996</v>
      </c>
      <c r="G85">
        <f t="shared" si="5"/>
        <v>20</v>
      </c>
      <c r="H85" t="str">
        <f t="shared" si="6"/>
        <v>Friday</v>
      </c>
      <c r="I85" t="str">
        <f t="shared" si="7"/>
        <v>Dec</v>
      </c>
    </row>
    <row r="86" spans="1:9" x14ac:dyDescent="0.35">
      <c r="A86">
        <v>85</v>
      </c>
      <c r="B86" s="1">
        <v>45732.72726398769</v>
      </c>
      <c r="C86" t="s">
        <v>15</v>
      </c>
      <c r="D86" t="s">
        <v>6</v>
      </c>
      <c r="E86" t="s">
        <v>7</v>
      </c>
      <c r="F86" s="2">
        <f t="shared" si="4"/>
        <v>45732</v>
      </c>
      <c r="G86">
        <f t="shared" si="5"/>
        <v>17</v>
      </c>
      <c r="H86" t="str">
        <f t="shared" si="6"/>
        <v>Sunday</v>
      </c>
      <c r="I86" t="str">
        <f t="shared" si="7"/>
        <v>Mar</v>
      </c>
    </row>
    <row r="87" spans="1:9" x14ac:dyDescent="0.35">
      <c r="A87">
        <v>86</v>
      </c>
      <c r="B87" s="1">
        <v>45777.081915767812</v>
      </c>
      <c r="C87" t="s">
        <v>15</v>
      </c>
      <c r="D87" t="s">
        <v>9</v>
      </c>
      <c r="E87" t="s">
        <v>12</v>
      </c>
      <c r="F87" s="2">
        <f t="shared" si="4"/>
        <v>45777</v>
      </c>
      <c r="G87">
        <f t="shared" si="5"/>
        <v>1</v>
      </c>
      <c r="H87" t="str">
        <f t="shared" si="6"/>
        <v>Wednesday</v>
      </c>
      <c r="I87" t="str">
        <f t="shared" si="7"/>
        <v>Apr</v>
      </c>
    </row>
    <row r="88" spans="1:9" x14ac:dyDescent="0.35">
      <c r="A88">
        <v>87</v>
      </c>
      <c r="B88" s="1">
        <v>45841.180608974886</v>
      </c>
      <c r="C88" t="s">
        <v>5</v>
      </c>
      <c r="D88" t="s">
        <v>11</v>
      </c>
      <c r="E88" t="s">
        <v>7</v>
      </c>
      <c r="F88" s="2">
        <f t="shared" si="4"/>
        <v>45841</v>
      </c>
      <c r="G88">
        <f t="shared" si="5"/>
        <v>4</v>
      </c>
      <c r="H88" t="str">
        <f t="shared" si="6"/>
        <v>Thursday</v>
      </c>
      <c r="I88" t="str">
        <f t="shared" si="7"/>
        <v>Jul</v>
      </c>
    </row>
    <row r="89" spans="1:9" x14ac:dyDescent="0.35">
      <c r="A89">
        <v>88</v>
      </c>
      <c r="B89" s="1">
        <v>45829.705828668273</v>
      </c>
      <c r="C89" t="s">
        <v>15</v>
      </c>
      <c r="D89" t="s">
        <v>13</v>
      </c>
      <c r="E89" t="s">
        <v>12</v>
      </c>
      <c r="F89" s="2">
        <f t="shared" si="4"/>
        <v>45829</v>
      </c>
      <c r="G89">
        <f t="shared" si="5"/>
        <v>16</v>
      </c>
      <c r="H89" t="str">
        <f t="shared" si="6"/>
        <v>Saturday</v>
      </c>
      <c r="I89" t="str">
        <f t="shared" si="7"/>
        <v>Jun</v>
      </c>
    </row>
    <row r="90" spans="1:9" x14ac:dyDescent="0.35">
      <c r="A90">
        <v>89</v>
      </c>
      <c r="B90" s="1">
        <v>45870.483435242917</v>
      </c>
      <c r="C90" t="s">
        <v>15</v>
      </c>
      <c r="D90" t="s">
        <v>9</v>
      </c>
      <c r="E90" t="s">
        <v>12</v>
      </c>
      <c r="F90" s="2">
        <f t="shared" si="4"/>
        <v>45870</v>
      </c>
      <c r="G90">
        <f t="shared" si="5"/>
        <v>11</v>
      </c>
      <c r="H90" t="str">
        <f t="shared" si="6"/>
        <v>Friday</v>
      </c>
      <c r="I90" t="str">
        <f t="shared" si="7"/>
        <v>Aug</v>
      </c>
    </row>
    <row r="91" spans="1:9" x14ac:dyDescent="0.35">
      <c r="A91">
        <v>90</v>
      </c>
      <c r="B91" s="1">
        <v>45802.244515887476</v>
      </c>
      <c r="C91" t="s">
        <v>8</v>
      </c>
      <c r="D91" t="s">
        <v>6</v>
      </c>
      <c r="E91" t="s">
        <v>12</v>
      </c>
      <c r="F91" s="2">
        <f t="shared" si="4"/>
        <v>45802</v>
      </c>
      <c r="G91">
        <f t="shared" si="5"/>
        <v>5</v>
      </c>
      <c r="H91" t="str">
        <f t="shared" si="6"/>
        <v>Sunday</v>
      </c>
      <c r="I91" t="str">
        <f t="shared" si="7"/>
        <v>May</v>
      </c>
    </row>
    <row r="92" spans="1:9" x14ac:dyDescent="0.35">
      <c r="A92">
        <v>91</v>
      </c>
      <c r="B92" s="1">
        <v>46013.682777815091</v>
      </c>
      <c r="C92" t="s">
        <v>10</v>
      </c>
      <c r="D92" t="s">
        <v>13</v>
      </c>
      <c r="E92" t="s">
        <v>7</v>
      </c>
      <c r="F92" s="2">
        <f t="shared" si="4"/>
        <v>46013</v>
      </c>
      <c r="G92">
        <f t="shared" si="5"/>
        <v>16</v>
      </c>
      <c r="H92" t="str">
        <f t="shared" si="6"/>
        <v>Monday</v>
      </c>
      <c r="I92" t="str">
        <f t="shared" si="7"/>
        <v>Dec</v>
      </c>
    </row>
    <row r="93" spans="1:9" x14ac:dyDescent="0.35">
      <c r="A93">
        <v>92</v>
      </c>
      <c r="B93" s="1">
        <v>45895.376319620933</v>
      </c>
      <c r="C93" t="s">
        <v>8</v>
      </c>
      <c r="D93" t="s">
        <v>6</v>
      </c>
      <c r="E93" t="s">
        <v>7</v>
      </c>
      <c r="F93" s="2">
        <f t="shared" si="4"/>
        <v>45895</v>
      </c>
      <c r="G93">
        <f t="shared" si="5"/>
        <v>9</v>
      </c>
      <c r="H93" t="str">
        <f t="shared" si="6"/>
        <v>Tuesday</v>
      </c>
      <c r="I93" t="str">
        <f t="shared" si="7"/>
        <v>Aug</v>
      </c>
    </row>
    <row r="94" spans="1:9" x14ac:dyDescent="0.35">
      <c r="A94">
        <v>93</v>
      </c>
      <c r="B94" s="1">
        <v>45965.015220272238</v>
      </c>
      <c r="C94" t="s">
        <v>8</v>
      </c>
      <c r="D94" t="s">
        <v>6</v>
      </c>
      <c r="E94" t="s">
        <v>12</v>
      </c>
      <c r="F94" s="2">
        <f t="shared" si="4"/>
        <v>45965</v>
      </c>
      <c r="G94">
        <f t="shared" si="5"/>
        <v>0</v>
      </c>
      <c r="H94" t="str">
        <f t="shared" si="6"/>
        <v>Tuesday</v>
      </c>
      <c r="I94" t="str">
        <f t="shared" si="7"/>
        <v>Nov</v>
      </c>
    </row>
    <row r="95" spans="1:9" x14ac:dyDescent="0.35">
      <c r="A95">
        <v>94</v>
      </c>
      <c r="B95" s="1">
        <v>45709.044968971917</v>
      </c>
      <c r="C95" t="s">
        <v>10</v>
      </c>
      <c r="D95" t="s">
        <v>11</v>
      </c>
      <c r="E95" t="s">
        <v>12</v>
      </c>
      <c r="F95" s="2">
        <f t="shared" si="4"/>
        <v>45709</v>
      </c>
      <c r="G95">
        <f t="shared" si="5"/>
        <v>1</v>
      </c>
      <c r="H95" t="str">
        <f t="shared" si="6"/>
        <v>Friday</v>
      </c>
      <c r="I95" t="str">
        <f t="shared" si="7"/>
        <v>Feb</v>
      </c>
    </row>
    <row r="96" spans="1:9" x14ac:dyDescent="0.35">
      <c r="A96">
        <v>95</v>
      </c>
      <c r="B96" s="1">
        <v>45948.365580969061</v>
      </c>
      <c r="C96" t="s">
        <v>15</v>
      </c>
      <c r="D96" t="s">
        <v>9</v>
      </c>
      <c r="E96" t="s">
        <v>12</v>
      </c>
      <c r="F96" s="2">
        <f t="shared" si="4"/>
        <v>45948</v>
      </c>
      <c r="G96">
        <f t="shared" si="5"/>
        <v>8</v>
      </c>
      <c r="H96" t="str">
        <f t="shared" si="6"/>
        <v>Saturday</v>
      </c>
      <c r="I96" t="str">
        <f t="shared" si="7"/>
        <v>Oct</v>
      </c>
    </row>
    <row r="97" spans="1:9" x14ac:dyDescent="0.35">
      <c r="A97">
        <v>96</v>
      </c>
      <c r="B97" s="1">
        <v>45673.194098711763</v>
      </c>
      <c r="C97" t="s">
        <v>8</v>
      </c>
      <c r="D97" t="s">
        <v>11</v>
      </c>
      <c r="E97" t="s">
        <v>7</v>
      </c>
      <c r="F97" s="2">
        <f t="shared" si="4"/>
        <v>45673</v>
      </c>
      <c r="G97">
        <f t="shared" si="5"/>
        <v>4</v>
      </c>
      <c r="H97" t="str">
        <f t="shared" si="6"/>
        <v>Thursday</v>
      </c>
      <c r="I97" t="str">
        <f t="shared" si="7"/>
        <v>Jan</v>
      </c>
    </row>
    <row r="98" spans="1:9" x14ac:dyDescent="0.35">
      <c r="A98">
        <v>97</v>
      </c>
      <c r="B98" s="1">
        <v>45960.675697468585</v>
      </c>
      <c r="C98" t="s">
        <v>10</v>
      </c>
      <c r="D98" t="s">
        <v>9</v>
      </c>
      <c r="E98" t="s">
        <v>7</v>
      </c>
      <c r="F98" s="2">
        <f t="shared" si="4"/>
        <v>45960</v>
      </c>
      <c r="G98">
        <f t="shared" si="5"/>
        <v>16</v>
      </c>
      <c r="H98" t="str">
        <f t="shared" si="6"/>
        <v>Thursday</v>
      </c>
      <c r="I98" t="str">
        <f t="shared" si="7"/>
        <v>Oct</v>
      </c>
    </row>
    <row r="99" spans="1:9" x14ac:dyDescent="0.35">
      <c r="A99">
        <v>98</v>
      </c>
      <c r="B99" s="1">
        <v>45706.595150311412</v>
      </c>
      <c r="C99" t="s">
        <v>5</v>
      </c>
      <c r="D99" t="s">
        <v>9</v>
      </c>
      <c r="E99" t="s">
        <v>12</v>
      </c>
      <c r="F99" s="2">
        <f t="shared" si="4"/>
        <v>45706</v>
      </c>
      <c r="G99">
        <f t="shared" si="5"/>
        <v>14</v>
      </c>
      <c r="H99" t="str">
        <f t="shared" si="6"/>
        <v>Tuesday</v>
      </c>
      <c r="I99" t="str">
        <f t="shared" si="7"/>
        <v>Feb</v>
      </c>
    </row>
    <row r="100" spans="1:9" x14ac:dyDescent="0.35">
      <c r="A100">
        <v>99</v>
      </c>
      <c r="B100" s="1">
        <v>45811.391593558968</v>
      </c>
      <c r="C100" t="s">
        <v>8</v>
      </c>
      <c r="D100" t="s">
        <v>9</v>
      </c>
      <c r="E100" t="s">
        <v>12</v>
      </c>
      <c r="F100" s="2">
        <f t="shared" si="4"/>
        <v>45811</v>
      </c>
      <c r="G100">
        <f t="shared" si="5"/>
        <v>9</v>
      </c>
      <c r="H100" t="str">
        <f t="shared" si="6"/>
        <v>Tuesday</v>
      </c>
      <c r="I100" t="str">
        <f t="shared" si="7"/>
        <v>Jun</v>
      </c>
    </row>
    <row r="101" spans="1:9" x14ac:dyDescent="0.35">
      <c r="A101">
        <v>100</v>
      </c>
      <c r="B101" s="1">
        <v>45985.561694958305</v>
      </c>
      <c r="C101" t="s">
        <v>8</v>
      </c>
      <c r="D101" t="s">
        <v>9</v>
      </c>
      <c r="E101" t="s">
        <v>12</v>
      </c>
      <c r="F101" s="2">
        <f t="shared" si="4"/>
        <v>45985</v>
      </c>
      <c r="G101">
        <f t="shared" si="5"/>
        <v>13</v>
      </c>
      <c r="H101" t="str">
        <f t="shared" si="6"/>
        <v>Monday</v>
      </c>
      <c r="I101" t="str">
        <f t="shared" si="7"/>
        <v>Nov</v>
      </c>
    </row>
    <row r="102" spans="1:9" x14ac:dyDescent="0.35">
      <c r="A102">
        <v>101</v>
      </c>
      <c r="B102" s="1">
        <v>45665.886568147311</v>
      </c>
      <c r="C102" t="s">
        <v>14</v>
      </c>
      <c r="D102" t="s">
        <v>6</v>
      </c>
      <c r="E102" t="s">
        <v>12</v>
      </c>
      <c r="F102" s="2">
        <f t="shared" si="4"/>
        <v>45665</v>
      </c>
      <c r="G102">
        <f t="shared" si="5"/>
        <v>21</v>
      </c>
      <c r="H102" t="str">
        <f t="shared" si="6"/>
        <v>Wednesday</v>
      </c>
      <c r="I102" t="str">
        <f t="shared" si="7"/>
        <v>Jan</v>
      </c>
    </row>
    <row r="103" spans="1:9" x14ac:dyDescent="0.35">
      <c r="A103">
        <v>102</v>
      </c>
      <c r="B103" s="1">
        <v>45934.454624633443</v>
      </c>
      <c r="C103" t="s">
        <v>10</v>
      </c>
      <c r="D103" t="s">
        <v>6</v>
      </c>
      <c r="E103" t="s">
        <v>7</v>
      </c>
      <c r="F103" s="2">
        <f t="shared" si="4"/>
        <v>45934</v>
      </c>
      <c r="G103">
        <f t="shared" si="5"/>
        <v>10</v>
      </c>
      <c r="H103" t="str">
        <f t="shared" si="6"/>
        <v>Saturday</v>
      </c>
      <c r="I103" t="str">
        <f t="shared" si="7"/>
        <v>Oct</v>
      </c>
    </row>
    <row r="104" spans="1:9" x14ac:dyDescent="0.35">
      <c r="A104">
        <v>103</v>
      </c>
      <c r="B104" s="1">
        <v>45954.434003804017</v>
      </c>
      <c r="C104" t="s">
        <v>5</v>
      </c>
      <c r="D104" t="s">
        <v>6</v>
      </c>
      <c r="E104" t="s">
        <v>12</v>
      </c>
      <c r="F104" s="2">
        <f t="shared" si="4"/>
        <v>45954</v>
      </c>
      <c r="G104">
        <f t="shared" si="5"/>
        <v>10</v>
      </c>
      <c r="H104" t="str">
        <f t="shared" si="6"/>
        <v>Friday</v>
      </c>
      <c r="I104" t="str">
        <f t="shared" si="7"/>
        <v>Oct</v>
      </c>
    </row>
    <row r="105" spans="1:9" x14ac:dyDescent="0.35">
      <c r="A105">
        <v>104</v>
      </c>
      <c r="B105" s="1">
        <v>45998.002478684255</v>
      </c>
      <c r="C105" t="s">
        <v>10</v>
      </c>
      <c r="D105" t="s">
        <v>11</v>
      </c>
      <c r="E105" t="s">
        <v>12</v>
      </c>
      <c r="F105" s="2">
        <f t="shared" si="4"/>
        <v>45998</v>
      </c>
      <c r="G105">
        <f t="shared" si="5"/>
        <v>0</v>
      </c>
      <c r="H105" t="str">
        <f t="shared" si="6"/>
        <v>Sunday</v>
      </c>
      <c r="I105" t="str">
        <f t="shared" si="7"/>
        <v>Dec</v>
      </c>
    </row>
    <row r="106" spans="1:9" x14ac:dyDescent="0.35">
      <c r="A106">
        <v>105</v>
      </c>
      <c r="B106" s="1">
        <v>45952.358243122515</v>
      </c>
      <c r="C106" t="s">
        <v>8</v>
      </c>
      <c r="D106" t="s">
        <v>13</v>
      </c>
      <c r="E106" t="s">
        <v>12</v>
      </c>
      <c r="F106" s="2">
        <f t="shared" si="4"/>
        <v>45952</v>
      </c>
      <c r="G106">
        <f t="shared" si="5"/>
        <v>8</v>
      </c>
      <c r="H106" t="str">
        <f t="shared" si="6"/>
        <v>Wednesday</v>
      </c>
      <c r="I106" t="str">
        <f t="shared" si="7"/>
        <v>Oct</v>
      </c>
    </row>
    <row r="107" spans="1:9" x14ac:dyDescent="0.35">
      <c r="A107">
        <v>106</v>
      </c>
      <c r="B107" s="1">
        <v>45840.318332203489</v>
      </c>
      <c r="C107" t="s">
        <v>8</v>
      </c>
      <c r="D107" t="s">
        <v>11</v>
      </c>
      <c r="E107" t="s">
        <v>12</v>
      </c>
      <c r="F107" s="2">
        <f t="shared" si="4"/>
        <v>45840</v>
      </c>
      <c r="G107">
        <f t="shared" si="5"/>
        <v>7</v>
      </c>
      <c r="H107" t="str">
        <f t="shared" si="6"/>
        <v>Wednesday</v>
      </c>
      <c r="I107" t="str">
        <f t="shared" si="7"/>
        <v>Jul</v>
      </c>
    </row>
    <row r="108" spans="1:9" x14ac:dyDescent="0.35">
      <c r="A108">
        <v>107</v>
      </c>
      <c r="B108" s="1">
        <v>45782.625207827688</v>
      </c>
      <c r="C108" t="s">
        <v>10</v>
      </c>
      <c r="D108" t="s">
        <v>13</v>
      </c>
      <c r="E108" t="s">
        <v>7</v>
      </c>
      <c r="F108" s="2">
        <f t="shared" si="4"/>
        <v>45782</v>
      </c>
      <c r="G108">
        <f t="shared" si="5"/>
        <v>15</v>
      </c>
      <c r="H108" t="str">
        <f t="shared" si="6"/>
        <v>Monday</v>
      </c>
      <c r="I108" t="str">
        <f t="shared" si="7"/>
        <v>May</v>
      </c>
    </row>
    <row r="109" spans="1:9" x14ac:dyDescent="0.35">
      <c r="A109">
        <v>108</v>
      </c>
      <c r="B109" s="1">
        <v>45838.073523387873</v>
      </c>
      <c r="C109" t="s">
        <v>14</v>
      </c>
      <c r="D109" t="s">
        <v>6</v>
      </c>
      <c r="E109" t="s">
        <v>12</v>
      </c>
      <c r="F109" s="2">
        <f t="shared" si="4"/>
        <v>45838</v>
      </c>
      <c r="G109">
        <f t="shared" si="5"/>
        <v>1</v>
      </c>
      <c r="H109" t="str">
        <f t="shared" si="6"/>
        <v>Monday</v>
      </c>
      <c r="I109" t="str">
        <f t="shared" si="7"/>
        <v>Jun</v>
      </c>
    </row>
    <row r="110" spans="1:9" x14ac:dyDescent="0.35">
      <c r="A110">
        <v>109</v>
      </c>
      <c r="B110" s="1">
        <v>45661.546616222862</v>
      </c>
      <c r="C110" t="s">
        <v>5</v>
      </c>
      <c r="D110" t="s">
        <v>13</v>
      </c>
      <c r="E110" t="s">
        <v>12</v>
      </c>
      <c r="F110" s="2">
        <f t="shared" si="4"/>
        <v>45661</v>
      </c>
      <c r="G110">
        <f t="shared" si="5"/>
        <v>13</v>
      </c>
      <c r="H110" t="str">
        <f t="shared" si="6"/>
        <v>Saturday</v>
      </c>
      <c r="I110" t="str">
        <f t="shared" si="7"/>
        <v>Jan</v>
      </c>
    </row>
    <row r="111" spans="1:9" x14ac:dyDescent="0.35">
      <c r="A111">
        <v>110</v>
      </c>
      <c r="B111" s="1">
        <v>46019.575581952173</v>
      </c>
      <c r="C111" t="s">
        <v>10</v>
      </c>
      <c r="D111" t="s">
        <v>11</v>
      </c>
      <c r="E111" t="s">
        <v>12</v>
      </c>
      <c r="F111" s="2">
        <f t="shared" si="4"/>
        <v>46019</v>
      </c>
      <c r="G111">
        <f t="shared" si="5"/>
        <v>13</v>
      </c>
      <c r="H111" t="str">
        <f t="shared" si="6"/>
        <v>Sunday</v>
      </c>
      <c r="I111" t="str">
        <f t="shared" si="7"/>
        <v>Dec</v>
      </c>
    </row>
    <row r="112" spans="1:9" x14ac:dyDescent="0.35">
      <c r="A112">
        <v>111</v>
      </c>
      <c r="B112" s="1">
        <v>45743.599375684673</v>
      </c>
      <c r="C112" t="s">
        <v>8</v>
      </c>
      <c r="D112" t="s">
        <v>13</v>
      </c>
      <c r="E112" t="s">
        <v>12</v>
      </c>
      <c r="F112" s="2">
        <f t="shared" si="4"/>
        <v>45743</v>
      </c>
      <c r="G112">
        <f t="shared" si="5"/>
        <v>14</v>
      </c>
      <c r="H112" t="str">
        <f t="shared" si="6"/>
        <v>Thursday</v>
      </c>
      <c r="I112" t="str">
        <f t="shared" si="7"/>
        <v>Mar</v>
      </c>
    </row>
    <row r="113" spans="1:9" x14ac:dyDescent="0.35">
      <c r="A113">
        <v>112</v>
      </c>
      <c r="B113" s="1">
        <v>45857.832579293827</v>
      </c>
      <c r="C113" t="s">
        <v>10</v>
      </c>
      <c r="D113" t="s">
        <v>6</v>
      </c>
      <c r="E113" t="s">
        <v>12</v>
      </c>
      <c r="F113" s="2">
        <f t="shared" si="4"/>
        <v>45857</v>
      </c>
      <c r="G113">
        <f t="shared" si="5"/>
        <v>19</v>
      </c>
      <c r="H113" t="str">
        <f t="shared" si="6"/>
        <v>Saturday</v>
      </c>
      <c r="I113" t="str">
        <f t="shared" si="7"/>
        <v>Jul</v>
      </c>
    </row>
    <row r="114" spans="1:9" x14ac:dyDescent="0.35">
      <c r="A114">
        <v>113</v>
      </c>
      <c r="B114" s="1">
        <v>45899.045047342122</v>
      </c>
      <c r="C114" t="s">
        <v>8</v>
      </c>
      <c r="D114" t="s">
        <v>13</v>
      </c>
      <c r="E114" t="s">
        <v>12</v>
      </c>
      <c r="F114" s="2">
        <f t="shared" si="4"/>
        <v>45899</v>
      </c>
      <c r="G114">
        <f t="shared" si="5"/>
        <v>1</v>
      </c>
      <c r="H114" t="str">
        <f t="shared" si="6"/>
        <v>Saturday</v>
      </c>
      <c r="I114" t="str">
        <f t="shared" si="7"/>
        <v>Aug</v>
      </c>
    </row>
    <row r="115" spans="1:9" x14ac:dyDescent="0.35">
      <c r="A115">
        <v>114</v>
      </c>
      <c r="B115" s="1">
        <v>45734.126835178191</v>
      </c>
      <c r="C115" t="s">
        <v>15</v>
      </c>
      <c r="D115" t="s">
        <v>11</v>
      </c>
      <c r="E115" t="s">
        <v>12</v>
      </c>
      <c r="F115" s="2">
        <f t="shared" si="4"/>
        <v>45734</v>
      </c>
      <c r="G115">
        <f t="shared" si="5"/>
        <v>3</v>
      </c>
      <c r="H115" t="str">
        <f t="shared" si="6"/>
        <v>Tuesday</v>
      </c>
      <c r="I115" t="str">
        <f t="shared" si="7"/>
        <v>Mar</v>
      </c>
    </row>
    <row r="116" spans="1:9" x14ac:dyDescent="0.35">
      <c r="A116">
        <v>115</v>
      </c>
      <c r="B116" s="1">
        <v>45819.875703714621</v>
      </c>
      <c r="C116" t="s">
        <v>10</v>
      </c>
      <c r="D116" t="s">
        <v>6</v>
      </c>
      <c r="E116" t="s">
        <v>7</v>
      </c>
      <c r="F116" s="2">
        <f t="shared" si="4"/>
        <v>45819</v>
      </c>
      <c r="G116">
        <f t="shared" si="5"/>
        <v>21</v>
      </c>
      <c r="H116" t="str">
        <f t="shared" si="6"/>
        <v>Wednesday</v>
      </c>
      <c r="I116" t="str">
        <f t="shared" si="7"/>
        <v>Jun</v>
      </c>
    </row>
    <row r="117" spans="1:9" x14ac:dyDescent="0.35">
      <c r="A117">
        <v>116</v>
      </c>
      <c r="B117" s="1">
        <v>45862.635380376079</v>
      </c>
      <c r="C117" t="s">
        <v>8</v>
      </c>
      <c r="D117" t="s">
        <v>11</v>
      </c>
      <c r="E117" t="s">
        <v>12</v>
      </c>
      <c r="F117" s="2">
        <f t="shared" si="4"/>
        <v>45862</v>
      </c>
      <c r="G117">
        <f t="shared" si="5"/>
        <v>15</v>
      </c>
      <c r="H117" t="str">
        <f t="shared" si="6"/>
        <v>Thursday</v>
      </c>
      <c r="I117" t="str">
        <f t="shared" si="7"/>
        <v>Jul</v>
      </c>
    </row>
    <row r="118" spans="1:9" x14ac:dyDescent="0.35">
      <c r="A118">
        <v>117</v>
      </c>
      <c r="B118" s="1">
        <v>45923.289495852252</v>
      </c>
      <c r="C118" t="s">
        <v>5</v>
      </c>
      <c r="D118" t="s">
        <v>6</v>
      </c>
      <c r="E118" t="s">
        <v>7</v>
      </c>
      <c r="F118" s="2">
        <f t="shared" si="4"/>
        <v>45923</v>
      </c>
      <c r="G118">
        <f t="shared" si="5"/>
        <v>6</v>
      </c>
      <c r="H118" t="str">
        <f t="shared" si="6"/>
        <v>Tuesday</v>
      </c>
      <c r="I118" t="str">
        <f t="shared" si="7"/>
        <v>Sep</v>
      </c>
    </row>
    <row r="119" spans="1:9" x14ac:dyDescent="0.35">
      <c r="A119">
        <v>118</v>
      </c>
      <c r="B119" s="1">
        <v>45775.684201696167</v>
      </c>
      <c r="C119" t="s">
        <v>14</v>
      </c>
      <c r="D119" t="s">
        <v>11</v>
      </c>
      <c r="E119" t="s">
        <v>12</v>
      </c>
      <c r="F119" s="2">
        <f t="shared" si="4"/>
        <v>45775</v>
      </c>
      <c r="G119">
        <f t="shared" si="5"/>
        <v>16</v>
      </c>
      <c r="H119" t="str">
        <f t="shared" si="6"/>
        <v>Monday</v>
      </c>
      <c r="I119" t="str">
        <f t="shared" si="7"/>
        <v>Apr</v>
      </c>
    </row>
    <row r="120" spans="1:9" x14ac:dyDescent="0.35">
      <c r="A120">
        <v>119</v>
      </c>
      <c r="B120" s="1">
        <v>45871.112749743035</v>
      </c>
      <c r="C120" t="s">
        <v>15</v>
      </c>
      <c r="D120" t="s">
        <v>9</v>
      </c>
      <c r="E120" t="s">
        <v>12</v>
      </c>
      <c r="F120" s="2">
        <f t="shared" si="4"/>
        <v>45871</v>
      </c>
      <c r="G120">
        <f t="shared" si="5"/>
        <v>2</v>
      </c>
      <c r="H120" t="str">
        <f t="shared" si="6"/>
        <v>Saturday</v>
      </c>
      <c r="I120" t="str">
        <f t="shared" si="7"/>
        <v>Aug</v>
      </c>
    </row>
    <row r="121" spans="1:9" x14ac:dyDescent="0.35">
      <c r="A121">
        <v>120</v>
      </c>
      <c r="B121" s="1">
        <v>45996.732146246395</v>
      </c>
      <c r="C121" t="s">
        <v>14</v>
      </c>
      <c r="D121" t="s">
        <v>13</v>
      </c>
      <c r="E121" t="s">
        <v>7</v>
      </c>
      <c r="F121" s="2">
        <f t="shared" si="4"/>
        <v>45996</v>
      </c>
      <c r="G121">
        <f t="shared" si="5"/>
        <v>17</v>
      </c>
      <c r="H121" t="str">
        <f t="shared" si="6"/>
        <v>Friday</v>
      </c>
      <c r="I121" t="str">
        <f t="shared" si="7"/>
        <v>Dec</v>
      </c>
    </row>
    <row r="122" spans="1:9" x14ac:dyDescent="0.35">
      <c r="A122">
        <v>121</v>
      </c>
      <c r="B122" s="1">
        <v>45849.657300411243</v>
      </c>
      <c r="C122" t="s">
        <v>15</v>
      </c>
      <c r="D122" t="s">
        <v>13</v>
      </c>
      <c r="E122" t="s">
        <v>12</v>
      </c>
      <c r="F122" s="2">
        <f t="shared" si="4"/>
        <v>45849</v>
      </c>
      <c r="G122">
        <f t="shared" si="5"/>
        <v>15</v>
      </c>
      <c r="H122" t="str">
        <f t="shared" si="6"/>
        <v>Friday</v>
      </c>
      <c r="I122" t="str">
        <f t="shared" si="7"/>
        <v>Jul</v>
      </c>
    </row>
    <row r="123" spans="1:9" x14ac:dyDescent="0.35">
      <c r="A123">
        <v>122</v>
      </c>
      <c r="B123" s="1">
        <v>45727.157766847209</v>
      </c>
      <c r="C123" t="s">
        <v>8</v>
      </c>
      <c r="D123" t="s">
        <v>13</v>
      </c>
      <c r="E123" t="s">
        <v>12</v>
      </c>
      <c r="F123" s="2">
        <f t="shared" si="4"/>
        <v>45727</v>
      </c>
      <c r="G123">
        <f t="shared" si="5"/>
        <v>3</v>
      </c>
      <c r="H123" t="str">
        <f t="shared" si="6"/>
        <v>Tuesday</v>
      </c>
      <c r="I123" t="str">
        <f t="shared" si="7"/>
        <v>Mar</v>
      </c>
    </row>
    <row r="124" spans="1:9" x14ac:dyDescent="0.35">
      <c r="A124">
        <v>123</v>
      </c>
      <c r="B124" s="1">
        <v>45944.536949037953</v>
      </c>
      <c r="C124" t="s">
        <v>5</v>
      </c>
      <c r="D124" t="s">
        <v>9</v>
      </c>
      <c r="E124" t="s">
        <v>12</v>
      </c>
      <c r="F124" s="2">
        <f t="shared" si="4"/>
        <v>45944</v>
      </c>
      <c r="G124">
        <f t="shared" si="5"/>
        <v>12</v>
      </c>
      <c r="H124" t="str">
        <f t="shared" si="6"/>
        <v>Tuesday</v>
      </c>
      <c r="I124" t="str">
        <f t="shared" si="7"/>
        <v>Oct</v>
      </c>
    </row>
    <row r="125" spans="1:9" x14ac:dyDescent="0.35">
      <c r="A125">
        <v>124</v>
      </c>
      <c r="B125" s="1">
        <v>45805.955046551746</v>
      </c>
      <c r="C125" t="s">
        <v>14</v>
      </c>
      <c r="D125" t="s">
        <v>9</v>
      </c>
      <c r="E125" t="s">
        <v>12</v>
      </c>
      <c r="F125" s="2">
        <f t="shared" si="4"/>
        <v>45805</v>
      </c>
      <c r="G125">
        <f t="shared" si="5"/>
        <v>22</v>
      </c>
      <c r="H125" t="str">
        <f t="shared" si="6"/>
        <v>Wednesday</v>
      </c>
      <c r="I125" t="str">
        <f t="shared" si="7"/>
        <v>May</v>
      </c>
    </row>
    <row r="126" spans="1:9" x14ac:dyDescent="0.35">
      <c r="A126">
        <v>125</v>
      </c>
      <c r="B126" s="1">
        <v>45905.540010613469</v>
      </c>
      <c r="C126" t="s">
        <v>5</v>
      </c>
      <c r="D126" t="s">
        <v>11</v>
      </c>
      <c r="E126" t="s">
        <v>12</v>
      </c>
      <c r="F126" s="2">
        <f t="shared" si="4"/>
        <v>45905</v>
      </c>
      <c r="G126">
        <f t="shared" si="5"/>
        <v>12</v>
      </c>
      <c r="H126" t="str">
        <f t="shared" si="6"/>
        <v>Friday</v>
      </c>
      <c r="I126" t="str">
        <f t="shared" si="7"/>
        <v>Sep</v>
      </c>
    </row>
    <row r="127" spans="1:9" x14ac:dyDescent="0.35">
      <c r="A127">
        <v>126</v>
      </c>
      <c r="B127" s="1">
        <v>45804.324506082798</v>
      </c>
      <c r="C127" t="s">
        <v>5</v>
      </c>
      <c r="D127" t="s">
        <v>11</v>
      </c>
      <c r="E127" t="s">
        <v>12</v>
      </c>
      <c r="F127" s="2">
        <f t="shared" si="4"/>
        <v>45804</v>
      </c>
      <c r="G127">
        <f t="shared" si="5"/>
        <v>7</v>
      </c>
      <c r="H127" t="str">
        <f t="shared" si="6"/>
        <v>Tuesday</v>
      </c>
      <c r="I127" t="str">
        <f t="shared" si="7"/>
        <v>May</v>
      </c>
    </row>
    <row r="128" spans="1:9" x14ac:dyDescent="0.35">
      <c r="A128">
        <v>127</v>
      </c>
      <c r="B128" s="1">
        <v>45707.946273925569</v>
      </c>
      <c r="C128" t="s">
        <v>10</v>
      </c>
      <c r="D128" t="s">
        <v>11</v>
      </c>
      <c r="E128" t="s">
        <v>7</v>
      </c>
      <c r="F128" s="2">
        <f t="shared" si="4"/>
        <v>45707</v>
      </c>
      <c r="G128">
        <f t="shared" si="5"/>
        <v>22</v>
      </c>
      <c r="H128" t="str">
        <f t="shared" si="6"/>
        <v>Wednesday</v>
      </c>
      <c r="I128" t="str">
        <f t="shared" si="7"/>
        <v>Feb</v>
      </c>
    </row>
    <row r="129" spans="1:9" x14ac:dyDescent="0.35">
      <c r="A129">
        <v>128</v>
      </c>
      <c r="B129" s="1">
        <v>45810.527377428138</v>
      </c>
      <c r="C129" t="s">
        <v>14</v>
      </c>
      <c r="D129" t="s">
        <v>9</v>
      </c>
      <c r="E129" t="s">
        <v>7</v>
      </c>
      <c r="F129" s="2">
        <f t="shared" si="4"/>
        <v>45810</v>
      </c>
      <c r="G129">
        <f t="shared" si="5"/>
        <v>12</v>
      </c>
      <c r="H129" t="str">
        <f t="shared" si="6"/>
        <v>Monday</v>
      </c>
      <c r="I129" t="str">
        <f t="shared" si="7"/>
        <v>Jun</v>
      </c>
    </row>
    <row r="130" spans="1:9" x14ac:dyDescent="0.35">
      <c r="A130">
        <v>129</v>
      </c>
      <c r="B130" s="1">
        <v>45792.970543572636</v>
      </c>
      <c r="C130" t="s">
        <v>15</v>
      </c>
      <c r="D130" t="s">
        <v>6</v>
      </c>
      <c r="E130" t="s">
        <v>12</v>
      </c>
      <c r="F130" s="2">
        <f t="shared" si="4"/>
        <v>45792</v>
      </c>
      <c r="G130">
        <f t="shared" si="5"/>
        <v>23</v>
      </c>
      <c r="H130" t="str">
        <f t="shared" si="6"/>
        <v>Thursday</v>
      </c>
      <c r="I130" t="str">
        <f t="shared" si="7"/>
        <v>May</v>
      </c>
    </row>
    <row r="131" spans="1:9" x14ac:dyDescent="0.35">
      <c r="A131">
        <v>130</v>
      </c>
      <c r="B131" s="1">
        <v>45726.649215895181</v>
      </c>
      <c r="C131" t="s">
        <v>5</v>
      </c>
      <c r="D131" t="s">
        <v>6</v>
      </c>
      <c r="E131" t="s">
        <v>12</v>
      </c>
      <c r="F131" s="2">
        <f t="shared" ref="F131:F194" si="8">INT(B131)</f>
        <v>45726</v>
      </c>
      <c r="G131">
        <f t="shared" ref="G131:G194" si="9">HOUR(B131)</f>
        <v>15</v>
      </c>
      <c r="H131" t="str">
        <f t="shared" ref="H131:H194" si="10">TEXT(B131, "dddd")</f>
        <v>Monday</v>
      </c>
      <c r="I131" t="str">
        <f t="shared" ref="I131:I194" si="11">TEXT(B131, "mmm")</f>
        <v>Mar</v>
      </c>
    </row>
    <row r="132" spans="1:9" x14ac:dyDescent="0.35">
      <c r="A132">
        <v>131</v>
      </c>
      <c r="B132" s="1">
        <v>46016.956971883541</v>
      </c>
      <c r="C132" t="s">
        <v>10</v>
      </c>
      <c r="D132" t="s">
        <v>9</v>
      </c>
      <c r="E132" t="s">
        <v>7</v>
      </c>
      <c r="F132" s="2">
        <f t="shared" si="8"/>
        <v>46016</v>
      </c>
      <c r="G132">
        <f t="shared" si="9"/>
        <v>22</v>
      </c>
      <c r="H132" t="str">
        <f t="shared" si="10"/>
        <v>Thursday</v>
      </c>
      <c r="I132" t="str">
        <f t="shared" si="11"/>
        <v>Dec</v>
      </c>
    </row>
    <row r="133" spans="1:9" x14ac:dyDescent="0.35">
      <c r="A133">
        <v>132</v>
      </c>
      <c r="B133" s="1">
        <v>46005.114947122333</v>
      </c>
      <c r="C133" t="s">
        <v>14</v>
      </c>
      <c r="D133" t="s">
        <v>11</v>
      </c>
      <c r="E133" t="s">
        <v>7</v>
      </c>
      <c r="F133" s="2">
        <f t="shared" si="8"/>
        <v>46005</v>
      </c>
      <c r="G133">
        <f t="shared" si="9"/>
        <v>2</v>
      </c>
      <c r="H133" t="str">
        <f t="shared" si="10"/>
        <v>Sunday</v>
      </c>
      <c r="I133" t="str">
        <f t="shared" si="11"/>
        <v>Dec</v>
      </c>
    </row>
    <row r="134" spans="1:9" x14ac:dyDescent="0.35">
      <c r="A134">
        <v>133</v>
      </c>
      <c r="B134" s="1">
        <v>45935.725613305127</v>
      </c>
      <c r="C134" t="s">
        <v>5</v>
      </c>
      <c r="D134" t="s">
        <v>9</v>
      </c>
      <c r="E134" t="s">
        <v>7</v>
      </c>
      <c r="F134" s="2">
        <f t="shared" si="8"/>
        <v>45935</v>
      </c>
      <c r="G134">
        <f t="shared" si="9"/>
        <v>17</v>
      </c>
      <c r="H134" t="str">
        <f t="shared" si="10"/>
        <v>Sunday</v>
      </c>
      <c r="I134" t="str">
        <f t="shared" si="11"/>
        <v>Oct</v>
      </c>
    </row>
    <row r="135" spans="1:9" x14ac:dyDescent="0.35">
      <c r="A135">
        <v>134</v>
      </c>
      <c r="B135" s="1">
        <v>46000.579236637015</v>
      </c>
      <c r="C135" t="s">
        <v>10</v>
      </c>
      <c r="D135" t="s">
        <v>9</v>
      </c>
      <c r="E135" t="s">
        <v>12</v>
      </c>
      <c r="F135" s="2">
        <f t="shared" si="8"/>
        <v>46000</v>
      </c>
      <c r="G135">
        <f t="shared" si="9"/>
        <v>13</v>
      </c>
      <c r="H135" t="str">
        <f t="shared" si="10"/>
        <v>Tuesday</v>
      </c>
      <c r="I135" t="str">
        <f t="shared" si="11"/>
        <v>Dec</v>
      </c>
    </row>
    <row r="136" spans="1:9" x14ac:dyDescent="0.35">
      <c r="A136">
        <v>135</v>
      </c>
      <c r="B136" s="1">
        <v>45802.017275831779</v>
      </c>
      <c r="C136" t="s">
        <v>14</v>
      </c>
      <c r="D136" t="s">
        <v>6</v>
      </c>
      <c r="E136" t="s">
        <v>12</v>
      </c>
      <c r="F136" s="2">
        <f t="shared" si="8"/>
        <v>45802</v>
      </c>
      <c r="G136">
        <f t="shared" si="9"/>
        <v>0</v>
      </c>
      <c r="H136" t="str">
        <f t="shared" si="10"/>
        <v>Sunday</v>
      </c>
      <c r="I136" t="str">
        <f t="shared" si="11"/>
        <v>May</v>
      </c>
    </row>
    <row r="137" spans="1:9" x14ac:dyDescent="0.35">
      <c r="A137">
        <v>136</v>
      </c>
      <c r="B137" s="1">
        <v>45905.218705892861</v>
      </c>
      <c r="C137" t="s">
        <v>5</v>
      </c>
      <c r="D137" t="s">
        <v>9</v>
      </c>
      <c r="E137" t="s">
        <v>12</v>
      </c>
      <c r="F137" s="2">
        <f t="shared" si="8"/>
        <v>45905</v>
      </c>
      <c r="G137">
        <f t="shared" si="9"/>
        <v>5</v>
      </c>
      <c r="H137" t="str">
        <f t="shared" si="10"/>
        <v>Friday</v>
      </c>
      <c r="I137" t="str">
        <f t="shared" si="11"/>
        <v>Sep</v>
      </c>
    </row>
    <row r="138" spans="1:9" x14ac:dyDescent="0.35">
      <c r="A138">
        <v>137</v>
      </c>
      <c r="B138" s="1">
        <v>45746.260266361387</v>
      </c>
      <c r="C138" t="s">
        <v>10</v>
      </c>
      <c r="D138" t="s">
        <v>9</v>
      </c>
      <c r="E138" t="s">
        <v>12</v>
      </c>
      <c r="F138" s="2">
        <f t="shared" si="8"/>
        <v>45746</v>
      </c>
      <c r="G138">
        <f t="shared" si="9"/>
        <v>6</v>
      </c>
      <c r="H138" t="str">
        <f t="shared" si="10"/>
        <v>Sunday</v>
      </c>
      <c r="I138" t="str">
        <f t="shared" si="11"/>
        <v>Mar</v>
      </c>
    </row>
    <row r="139" spans="1:9" x14ac:dyDescent="0.35">
      <c r="A139">
        <v>138</v>
      </c>
      <c r="B139" s="1">
        <v>45723.483134876747</v>
      </c>
      <c r="C139" t="s">
        <v>8</v>
      </c>
      <c r="D139" t="s">
        <v>13</v>
      </c>
      <c r="E139" t="s">
        <v>12</v>
      </c>
      <c r="F139" s="2">
        <f t="shared" si="8"/>
        <v>45723</v>
      </c>
      <c r="G139">
        <f t="shared" si="9"/>
        <v>11</v>
      </c>
      <c r="H139" t="str">
        <f t="shared" si="10"/>
        <v>Friday</v>
      </c>
      <c r="I139" t="str">
        <f t="shared" si="11"/>
        <v>Mar</v>
      </c>
    </row>
    <row r="140" spans="1:9" x14ac:dyDescent="0.35">
      <c r="A140">
        <v>139</v>
      </c>
      <c r="B140" s="1">
        <v>45697.002324050096</v>
      </c>
      <c r="C140" t="s">
        <v>5</v>
      </c>
      <c r="D140" t="s">
        <v>11</v>
      </c>
      <c r="E140" t="s">
        <v>7</v>
      </c>
      <c r="F140" s="2">
        <f t="shared" si="8"/>
        <v>45697</v>
      </c>
      <c r="G140">
        <f t="shared" si="9"/>
        <v>0</v>
      </c>
      <c r="H140" t="str">
        <f t="shared" si="10"/>
        <v>Sunday</v>
      </c>
      <c r="I140" t="str">
        <f t="shared" si="11"/>
        <v>Feb</v>
      </c>
    </row>
    <row r="141" spans="1:9" x14ac:dyDescent="0.35">
      <c r="A141">
        <v>140</v>
      </c>
      <c r="B141" s="1">
        <v>45765.175043850162</v>
      </c>
      <c r="C141" t="s">
        <v>15</v>
      </c>
      <c r="D141" t="s">
        <v>11</v>
      </c>
      <c r="E141" t="s">
        <v>12</v>
      </c>
      <c r="F141" s="2">
        <f t="shared" si="8"/>
        <v>45765</v>
      </c>
      <c r="G141">
        <f t="shared" si="9"/>
        <v>4</v>
      </c>
      <c r="H141" t="str">
        <f t="shared" si="10"/>
        <v>Friday</v>
      </c>
      <c r="I141" t="str">
        <f t="shared" si="11"/>
        <v>Apr</v>
      </c>
    </row>
    <row r="142" spans="1:9" x14ac:dyDescent="0.35">
      <c r="A142">
        <v>141</v>
      </c>
      <c r="B142" s="1">
        <v>45925.858005962553</v>
      </c>
      <c r="C142" t="s">
        <v>5</v>
      </c>
      <c r="D142" t="s">
        <v>11</v>
      </c>
      <c r="E142" t="s">
        <v>12</v>
      </c>
      <c r="F142" s="2">
        <f t="shared" si="8"/>
        <v>45925</v>
      </c>
      <c r="G142">
        <f t="shared" si="9"/>
        <v>20</v>
      </c>
      <c r="H142" t="str">
        <f t="shared" si="10"/>
        <v>Thursday</v>
      </c>
      <c r="I142" t="str">
        <f t="shared" si="11"/>
        <v>Sep</v>
      </c>
    </row>
    <row r="143" spans="1:9" x14ac:dyDescent="0.35">
      <c r="A143">
        <v>142</v>
      </c>
      <c r="B143" s="1">
        <v>45662.871941844242</v>
      </c>
      <c r="C143" t="s">
        <v>10</v>
      </c>
      <c r="D143" t="s">
        <v>11</v>
      </c>
      <c r="E143" t="s">
        <v>7</v>
      </c>
      <c r="F143" s="2">
        <f t="shared" si="8"/>
        <v>45662</v>
      </c>
      <c r="G143">
        <f t="shared" si="9"/>
        <v>20</v>
      </c>
      <c r="H143" t="str">
        <f t="shared" si="10"/>
        <v>Sunday</v>
      </c>
      <c r="I143" t="str">
        <f t="shared" si="11"/>
        <v>Jan</v>
      </c>
    </row>
    <row r="144" spans="1:9" x14ac:dyDescent="0.35">
      <c r="A144">
        <v>143</v>
      </c>
      <c r="B144" s="1">
        <v>45720.851260072006</v>
      </c>
      <c r="C144" t="s">
        <v>14</v>
      </c>
      <c r="D144" t="s">
        <v>9</v>
      </c>
      <c r="E144" t="s">
        <v>12</v>
      </c>
      <c r="F144" s="2">
        <f t="shared" si="8"/>
        <v>45720</v>
      </c>
      <c r="G144">
        <f t="shared" si="9"/>
        <v>20</v>
      </c>
      <c r="H144" t="str">
        <f t="shared" si="10"/>
        <v>Tuesday</v>
      </c>
      <c r="I144" t="str">
        <f t="shared" si="11"/>
        <v>Mar</v>
      </c>
    </row>
    <row r="145" spans="1:9" x14ac:dyDescent="0.35">
      <c r="A145">
        <v>144</v>
      </c>
      <c r="B145" s="1">
        <v>45954.784260361601</v>
      </c>
      <c r="C145" t="s">
        <v>8</v>
      </c>
      <c r="D145" t="s">
        <v>11</v>
      </c>
      <c r="E145" t="s">
        <v>12</v>
      </c>
      <c r="F145" s="2">
        <f t="shared" si="8"/>
        <v>45954</v>
      </c>
      <c r="G145">
        <f t="shared" si="9"/>
        <v>18</v>
      </c>
      <c r="H145" t="str">
        <f t="shared" si="10"/>
        <v>Friday</v>
      </c>
      <c r="I145" t="str">
        <f t="shared" si="11"/>
        <v>Oct</v>
      </c>
    </row>
    <row r="146" spans="1:9" x14ac:dyDescent="0.35">
      <c r="A146">
        <v>145</v>
      </c>
      <c r="B146" s="1">
        <v>45893.87246376674</v>
      </c>
      <c r="C146" t="s">
        <v>10</v>
      </c>
      <c r="D146" t="s">
        <v>13</v>
      </c>
      <c r="E146" t="s">
        <v>7</v>
      </c>
      <c r="F146" s="2">
        <f t="shared" si="8"/>
        <v>45893</v>
      </c>
      <c r="G146">
        <f t="shared" si="9"/>
        <v>20</v>
      </c>
      <c r="H146" t="str">
        <f t="shared" si="10"/>
        <v>Sunday</v>
      </c>
      <c r="I146" t="str">
        <f t="shared" si="11"/>
        <v>Aug</v>
      </c>
    </row>
    <row r="147" spans="1:9" x14ac:dyDescent="0.35">
      <c r="A147">
        <v>146</v>
      </c>
      <c r="B147" s="1">
        <v>45946.276421528768</v>
      </c>
      <c r="C147" t="s">
        <v>5</v>
      </c>
      <c r="D147" t="s">
        <v>6</v>
      </c>
      <c r="E147" t="s">
        <v>12</v>
      </c>
      <c r="F147" s="2">
        <f t="shared" si="8"/>
        <v>45946</v>
      </c>
      <c r="G147">
        <f t="shared" si="9"/>
        <v>6</v>
      </c>
      <c r="H147" t="str">
        <f t="shared" si="10"/>
        <v>Thursday</v>
      </c>
      <c r="I147" t="str">
        <f t="shared" si="11"/>
        <v>Oct</v>
      </c>
    </row>
    <row r="148" spans="1:9" x14ac:dyDescent="0.35">
      <c r="A148">
        <v>147</v>
      </c>
      <c r="B148" s="1">
        <v>45755.318506856689</v>
      </c>
      <c r="C148" t="s">
        <v>10</v>
      </c>
      <c r="D148" t="s">
        <v>6</v>
      </c>
      <c r="E148" t="s">
        <v>12</v>
      </c>
      <c r="F148" s="2">
        <f t="shared" si="8"/>
        <v>45755</v>
      </c>
      <c r="G148">
        <f t="shared" si="9"/>
        <v>7</v>
      </c>
      <c r="H148" t="str">
        <f t="shared" si="10"/>
        <v>Tuesday</v>
      </c>
      <c r="I148" t="str">
        <f t="shared" si="11"/>
        <v>Apr</v>
      </c>
    </row>
    <row r="149" spans="1:9" x14ac:dyDescent="0.35">
      <c r="A149">
        <v>148</v>
      </c>
      <c r="B149" s="1">
        <v>45913.835019367849</v>
      </c>
      <c r="C149" t="s">
        <v>8</v>
      </c>
      <c r="D149" t="s">
        <v>11</v>
      </c>
      <c r="E149" t="s">
        <v>7</v>
      </c>
      <c r="F149" s="2">
        <f t="shared" si="8"/>
        <v>45913</v>
      </c>
      <c r="G149">
        <f t="shared" si="9"/>
        <v>20</v>
      </c>
      <c r="H149" t="str">
        <f t="shared" si="10"/>
        <v>Saturday</v>
      </c>
      <c r="I149" t="str">
        <f t="shared" si="11"/>
        <v>Sep</v>
      </c>
    </row>
    <row r="150" spans="1:9" x14ac:dyDescent="0.35">
      <c r="A150">
        <v>149</v>
      </c>
      <c r="B150" s="1">
        <v>45777.646350686708</v>
      </c>
      <c r="C150" t="s">
        <v>5</v>
      </c>
      <c r="D150" t="s">
        <v>9</v>
      </c>
      <c r="E150" t="s">
        <v>7</v>
      </c>
      <c r="F150" s="2">
        <f t="shared" si="8"/>
        <v>45777</v>
      </c>
      <c r="G150">
        <f t="shared" si="9"/>
        <v>15</v>
      </c>
      <c r="H150" t="str">
        <f t="shared" si="10"/>
        <v>Wednesday</v>
      </c>
      <c r="I150" t="str">
        <f t="shared" si="11"/>
        <v>Apr</v>
      </c>
    </row>
    <row r="151" spans="1:9" x14ac:dyDescent="0.35">
      <c r="A151">
        <v>150</v>
      </c>
      <c r="B151" s="1">
        <v>45688.98900974093</v>
      </c>
      <c r="C151" t="s">
        <v>5</v>
      </c>
      <c r="D151" t="s">
        <v>13</v>
      </c>
      <c r="E151" t="s">
        <v>12</v>
      </c>
      <c r="F151" s="2">
        <f t="shared" si="8"/>
        <v>45688</v>
      </c>
      <c r="G151">
        <f t="shared" si="9"/>
        <v>23</v>
      </c>
      <c r="H151" t="str">
        <f t="shared" si="10"/>
        <v>Friday</v>
      </c>
      <c r="I151" t="str">
        <f t="shared" si="11"/>
        <v>Jan</v>
      </c>
    </row>
    <row r="152" spans="1:9" x14ac:dyDescent="0.35">
      <c r="A152">
        <v>151</v>
      </c>
      <c r="B152" s="1">
        <v>46011.132144204203</v>
      </c>
      <c r="C152" t="s">
        <v>14</v>
      </c>
      <c r="D152" t="s">
        <v>13</v>
      </c>
      <c r="E152" t="s">
        <v>12</v>
      </c>
      <c r="F152" s="2">
        <f t="shared" si="8"/>
        <v>46011</v>
      </c>
      <c r="G152">
        <f t="shared" si="9"/>
        <v>3</v>
      </c>
      <c r="H152" t="str">
        <f t="shared" si="10"/>
        <v>Saturday</v>
      </c>
      <c r="I152" t="str">
        <f t="shared" si="11"/>
        <v>Dec</v>
      </c>
    </row>
    <row r="153" spans="1:9" x14ac:dyDescent="0.35">
      <c r="A153">
        <v>152</v>
      </c>
      <c r="B153" s="1">
        <v>45677.341885300208</v>
      </c>
      <c r="C153" t="s">
        <v>8</v>
      </c>
      <c r="D153" t="s">
        <v>9</v>
      </c>
      <c r="E153" t="s">
        <v>12</v>
      </c>
      <c r="F153" s="2">
        <f t="shared" si="8"/>
        <v>45677</v>
      </c>
      <c r="G153">
        <f t="shared" si="9"/>
        <v>8</v>
      </c>
      <c r="H153" t="str">
        <f t="shared" si="10"/>
        <v>Monday</v>
      </c>
      <c r="I153" t="str">
        <f t="shared" si="11"/>
        <v>Jan</v>
      </c>
    </row>
    <row r="154" spans="1:9" x14ac:dyDescent="0.35">
      <c r="A154">
        <v>153</v>
      </c>
      <c r="B154" s="1">
        <v>45724.029288523358</v>
      </c>
      <c r="C154" t="s">
        <v>15</v>
      </c>
      <c r="D154" t="s">
        <v>6</v>
      </c>
      <c r="E154" t="s">
        <v>7</v>
      </c>
      <c r="F154" s="2">
        <f t="shared" si="8"/>
        <v>45724</v>
      </c>
      <c r="G154">
        <f t="shared" si="9"/>
        <v>0</v>
      </c>
      <c r="H154" t="str">
        <f t="shared" si="10"/>
        <v>Saturday</v>
      </c>
      <c r="I154" t="str">
        <f t="shared" si="11"/>
        <v>Mar</v>
      </c>
    </row>
    <row r="155" spans="1:9" x14ac:dyDescent="0.35">
      <c r="A155">
        <v>154</v>
      </c>
      <c r="B155" s="1">
        <v>45727.134333659931</v>
      </c>
      <c r="C155" t="s">
        <v>10</v>
      </c>
      <c r="D155" t="s">
        <v>13</v>
      </c>
      <c r="E155" t="s">
        <v>12</v>
      </c>
      <c r="F155" s="2">
        <f t="shared" si="8"/>
        <v>45727</v>
      </c>
      <c r="G155">
        <f t="shared" si="9"/>
        <v>3</v>
      </c>
      <c r="H155" t="str">
        <f t="shared" si="10"/>
        <v>Tuesday</v>
      </c>
      <c r="I155" t="str">
        <f t="shared" si="11"/>
        <v>Mar</v>
      </c>
    </row>
    <row r="156" spans="1:9" x14ac:dyDescent="0.35">
      <c r="A156">
        <v>155</v>
      </c>
      <c r="B156" s="1">
        <v>45923.326739846896</v>
      </c>
      <c r="C156" t="s">
        <v>5</v>
      </c>
      <c r="D156" t="s">
        <v>6</v>
      </c>
      <c r="E156" t="s">
        <v>7</v>
      </c>
      <c r="F156" s="2">
        <f t="shared" si="8"/>
        <v>45923</v>
      </c>
      <c r="G156">
        <f t="shared" si="9"/>
        <v>7</v>
      </c>
      <c r="H156" t="str">
        <f t="shared" si="10"/>
        <v>Tuesday</v>
      </c>
      <c r="I156" t="str">
        <f t="shared" si="11"/>
        <v>Sep</v>
      </c>
    </row>
    <row r="157" spans="1:9" x14ac:dyDescent="0.35">
      <c r="A157">
        <v>156</v>
      </c>
      <c r="B157" s="1">
        <v>45797.16700517977</v>
      </c>
      <c r="C157" t="s">
        <v>10</v>
      </c>
      <c r="D157" t="s">
        <v>9</v>
      </c>
      <c r="E157" t="s">
        <v>12</v>
      </c>
      <c r="F157" s="2">
        <f t="shared" si="8"/>
        <v>45797</v>
      </c>
      <c r="G157">
        <f t="shared" si="9"/>
        <v>4</v>
      </c>
      <c r="H157" t="str">
        <f t="shared" si="10"/>
        <v>Tuesday</v>
      </c>
      <c r="I157" t="str">
        <f t="shared" si="11"/>
        <v>May</v>
      </c>
    </row>
    <row r="158" spans="1:9" x14ac:dyDescent="0.35">
      <c r="A158">
        <v>157</v>
      </c>
      <c r="B158" s="1">
        <v>46003.706673027729</v>
      </c>
      <c r="C158" t="s">
        <v>14</v>
      </c>
      <c r="D158" t="s">
        <v>6</v>
      </c>
      <c r="E158" t="s">
        <v>12</v>
      </c>
      <c r="F158" s="2">
        <f t="shared" si="8"/>
        <v>46003</v>
      </c>
      <c r="G158">
        <f t="shared" si="9"/>
        <v>16</v>
      </c>
      <c r="H158" t="str">
        <f t="shared" si="10"/>
        <v>Friday</v>
      </c>
      <c r="I158" t="str">
        <f t="shared" si="11"/>
        <v>Dec</v>
      </c>
    </row>
    <row r="159" spans="1:9" x14ac:dyDescent="0.35">
      <c r="A159">
        <v>158</v>
      </c>
      <c r="B159" s="1">
        <v>45905.973162405266</v>
      </c>
      <c r="C159" t="s">
        <v>15</v>
      </c>
      <c r="D159" t="s">
        <v>6</v>
      </c>
      <c r="E159" t="s">
        <v>12</v>
      </c>
      <c r="F159" s="2">
        <f t="shared" si="8"/>
        <v>45905</v>
      </c>
      <c r="G159">
        <f t="shared" si="9"/>
        <v>23</v>
      </c>
      <c r="H159" t="str">
        <f t="shared" si="10"/>
        <v>Friday</v>
      </c>
      <c r="I159" t="str">
        <f t="shared" si="11"/>
        <v>Sep</v>
      </c>
    </row>
    <row r="160" spans="1:9" x14ac:dyDescent="0.35">
      <c r="A160">
        <v>159</v>
      </c>
      <c r="B160" s="1">
        <v>45855.916323576399</v>
      </c>
      <c r="C160" t="s">
        <v>8</v>
      </c>
      <c r="D160" t="s">
        <v>11</v>
      </c>
      <c r="E160" t="s">
        <v>7</v>
      </c>
      <c r="F160" s="2">
        <f t="shared" si="8"/>
        <v>45855</v>
      </c>
      <c r="G160">
        <f t="shared" si="9"/>
        <v>21</v>
      </c>
      <c r="H160" t="str">
        <f t="shared" si="10"/>
        <v>Thursday</v>
      </c>
      <c r="I160" t="str">
        <f t="shared" si="11"/>
        <v>Jul</v>
      </c>
    </row>
    <row r="161" spans="1:9" x14ac:dyDescent="0.35">
      <c r="A161">
        <v>160</v>
      </c>
      <c r="B161" s="1">
        <v>45750.968945171539</v>
      </c>
      <c r="C161" t="s">
        <v>10</v>
      </c>
      <c r="D161" t="s">
        <v>11</v>
      </c>
      <c r="E161" t="s">
        <v>7</v>
      </c>
      <c r="F161" s="2">
        <f t="shared" si="8"/>
        <v>45750</v>
      </c>
      <c r="G161">
        <f t="shared" si="9"/>
        <v>23</v>
      </c>
      <c r="H161" t="str">
        <f t="shared" si="10"/>
        <v>Thursday</v>
      </c>
      <c r="I161" t="str">
        <f t="shared" si="11"/>
        <v>Apr</v>
      </c>
    </row>
    <row r="162" spans="1:9" x14ac:dyDescent="0.35">
      <c r="A162">
        <v>161</v>
      </c>
      <c r="B162" s="1">
        <v>45839.24382048635</v>
      </c>
      <c r="C162" t="s">
        <v>14</v>
      </c>
      <c r="D162" t="s">
        <v>11</v>
      </c>
      <c r="E162" t="s">
        <v>7</v>
      </c>
      <c r="F162" s="2">
        <f t="shared" si="8"/>
        <v>45839</v>
      </c>
      <c r="G162">
        <f t="shared" si="9"/>
        <v>5</v>
      </c>
      <c r="H162" t="str">
        <f t="shared" si="10"/>
        <v>Tuesday</v>
      </c>
      <c r="I162" t="str">
        <f t="shared" si="11"/>
        <v>Jul</v>
      </c>
    </row>
    <row r="163" spans="1:9" x14ac:dyDescent="0.35">
      <c r="A163">
        <v>162</v>
      </c>
      <c r="B163" s="1">
        <v>45951.728833372239</v>
      </c>
      <c r="C163" t="s">
        <v>15</v>
      </c>
      <c r="D163" t="s">
        <v>9</v>
      </c>
      <c r="E163" t="s">
        <v>12</v>
      </c>
      <c r="F163" s="2">
        <f t="shared" si="8"/>
        <v>45951</v>
      </c>
      <c r="G163">
        <f t="shared" si="9"/>
        <v>17</v>
      </c>
      <c r="H163" t="str">
        <f t="shared" si="10"/>
        <v>Tuesday</v>
      </c>
      <c r="I163" t="str">
        <f t="shared" si="11"/>
        <v>Oct</v>
      </c>
    </row>
    <row r="164" spans="1:9" x14ac:dyDescent="0.35">
      <c r="A164">
        <v>163</v>
      </c>
      <c r="B164" s="1">
        <v>45775.139625021024</v>
      </c>
      <c r="C164" t="s">
        <v>5</v>
      </c>
      <c r="D164" t="s">
        <v>9</v>
      </c>
      <c r="E164" t="s">
        <v>7</v>
      </c>
      <c r="F164" s="2">
        <f t="shared" si="8"/>
        <v>45775</v>
      </c>
      <c r="G164">
        <f t="shared" si="9"/>
        <v>3</v>
      </c>
      <c r="H164" t="str">
        <f t="shared" si="10"/>
        <v>Monday</v>
      </c>
      <c r="I164" t="str">
        <f t="shared" si="11"/>
        <v>Apr</v>
      </c>
    </row>
    <row r="165" spans="1:9" x14ac:dyDescent="0.35">
      <c r="A165">
        <v>164</v>
      </c>
      <c r="B165" s="1">
        <v>45774.445099883233</v>
      </c>
      <c r="C165" t="s">
        <v>15</v>
      </c>
      <c r="D165" t="s">
        <v>11</v>
      </c>
      <c r="E165" t="s">
        <v>12</v>
      </c>
      <c r="F165" s="2">
        <f t="shared" si="8"/>
        <v>45774</v>
      </c>
      <c r="G165">
        <f t="shared" si="9"/>
        <v>10</v>
      </c>
      <c r="H165" t="str">
        <f t="shared" si="10"/>
        <v>Sunday</v>
      </c>
      <c r="I165" t="str">
        <f t="shared" si="11"/>
        <v>Apr</v>
      </c>
    </row>
    <row r="166" spans="1:9" x14ac:dyDescent="0.35">
      <c r="A166">
        <v>165</v>
      </c>
      <c r="B166" s="1">
        <v>45900.835130947497</v>
      </c>
      <c r="C166" t="s">
        <v>5</v>
      </c>
      <c r="D166" t="s">
        <v>11</v>
      </c>
      <c r="E166" t="s">
        <v>7</v>
      </c>
      <c r="F166" s="2">
        <f t="shared" si="8"/>
        <v>45900</v>
      </c>
      <c r="G166">
        <f t="shared" si="9"/>
        <v>20</v>
      </c>
      <c r="H166" t="str">
        <f t="shared" si="10"/>
        <v>Sunday</v>
      </c>
      <c r="I166" t="str">
        <f t="shared" si="11"/>
        <v>Aug</v>
      </c>
    </row>
    <row r="167" spans="1:9" x14ac:dyDescent="0.35">
      <c r="A167">
        <v>166</v>
      </c>
      <c r="B167" s="1">
        <v>45879.537091694467</v>
      </c>
      <c r="C167" t="s">
        <v>14</v>
      </c>
      <c r="D167" t="s">
        <v>13</v>
      </c>
      <c r="E167" t="s">
        <v>12</v>
      </c>
      <c r="F167" s="2">
        <f t="shared" si="8"/>
        <v>45879</v>
      </c>
      <c r="G167">
        <f t="shared" si="9"/>
        <v>12</v>
      </c>
      <c r="H167" t="str">
        <f t="shared" si="10"/>
        <v>Sunday</v>
      </c>
      <c r="I167" t="str">
        <f t="shared" si="11"/>
        <v>Aug</v>
      </c>
    </row>
    <row r="168" spans="1:9" x14ac:dyDescent="0.35">
      <c r="A168">
        <v>167</v>
      </c>
      <c r="B168" s="1">
        <v>45943.208833552228</v>
      </c>
      <c r="C168" t="s">
        <v>8</v>
      </c>
      <c r="D168" t="s">
        <v>11</v>
      </c>
      <c r="E168" t="s">
        <v>12</v>
      </c>
      <c r="F168" s="2">
        <f t="shared" si="8"/>
        <v>45943</v>
      </c>
      <c r="G168">
        <f t="shared" si="9"/>
        <v>5</v>
      </c>
      <c r="H168" t="str">
        <f t="shared" si="10"/>
        <v>Monday</v>
      </c>
      <c r="I168" t="str">
        <f t="shared" si="11"/>
        <v>Oct</v>
      </c>
    </row>
    <row r="169" spans="1:9" x14ac:dyDescent="0.35">
      <c r="A169">
        <v>168</v>
      </c>
      <c r="B169" s="1">
        <v>45663.118384298228</v>
      </c>
      <c r="C169" t="s">
        <v>5</v>
      </c>
      <c r="D169" t="s">
        <v>6</v>
      </c>
      <c r="E169" t="s">
        <v>12</v>
      </c>
      <c r="F169" s="2">
        <f t="shared" si="8"/>
        <v>45663</v>
      </c>
      <c r="G169">
        <f t="shared" si="9"/>
        <v>2</v>
      </c>
      <c r="H169" t="str">
        <f t="shared" si="10"/>
        <v>Monday</v>
      </c>
      <c r="I169" t="str">
        <f t="shared" si="11"/>
        <v>Jan</v>
      </c>
    </row>
    <row r="170" spans="1:9" x14ac:dyDescent="0.35">
      <c r="A170">
        <v>169</v>
      </c>
      <c r="B170" s="1">
        <v>46012.117505725233</v>
      </c>
      <c r="C170" t="s">
        <v>10</v>
      </c>
      <c r="D170" t="s">
        <v>9</v>
      </c>
      <c r="E170" t="s">
        <v>7</v>
      </c>
      <c r="F170" s="2">
        <f t="shared" si="8"/>
        <v>46012</v>
      </c>
      <c r="G170">
        <f t="shared" si="9"/>
        <v>2</v>
      </c>
      <c r="H170" t="str">
        <f t="shared" si="10"/>
        <v>Sunday</v>
      </c>
      <c r="I170" t="str">
        <f t="shared" si="11"/>
        <v>Dec</v>
      </c>
    </row>
    <row r="171" spans="1:9" x14ac:dyDescent="0.35">
      <c r="A171">
        <v>170</v>
      </c>
      <c r="B171" s="1">
        <v>45875.19354524761</v>
      </c>
      <c r="C171" t="s">
        <v>10</v>
      </c>
      <c r="D171" t="s">
        <v>6</v>
      </c>
      <c r="E171" t="s">
        <v>7</v>
      </c>
      <c r="F171" s="2">
        <f t="shared" si="8"/>
        <v>45875</v>
      </c>
      <c r="G171">
        <f t="shared" si="9"/>
        <v>4</v>
      </c>
      <c r="H171" t="str">
        <f t="shared" si="10"/>
        <v>Wednesday</v>
      </c>
      <c r="I171" t="str">
        <f t="shared" si="11"/>
        <v>Aug</v>
      </c>
    </row>
    <row r="172" spans="1:9" x14ac:dyDescent="0.35">
      <c r="A172">
        <v>171</v>
      </c>
      <c r="B172" s="1">
        <v>45841.011311207767</v>
      </c>
      <c r="C172" t="s">
        <v>10</v>
      </c>
      <c r="D172" t="s">
        <v>11</v>
      </c>
      <c r="E172" t="s">
        <v>12</v>
      </c>
      <c r="F172" s="2">
        <f t="shared" si="8"/>
        <v>45841</v>
      </c>
      <c r="G172">
        <f t="shared" si="9"/>
        <v>0</v>
      </c>
      <c r="H172" t="str">
        <f t="shared" si="10"/>
        <v>Thursday</v>
      </c>
      <c r="I172" t="str">
        <f t="shared" si="11"/>
        <v>Jul</v>
      </c>
    </row>
    <row r="173" spans="1:9" x14ac:dyDescent="0.35">
      <c r="A173">
        <v>172</v>
      </c>
      <c r="B173" s="1">
        <v>46021.291806038033</v>
      </c>
      <c r="C173" t="s">
        <v>8</v>
      </c>
      <c r="D173" t="s">
        <v>6</v>
      </c>
      <c r="E173" t="s">
        <v>12</v>
      </c>
      <c r="F173" s="2">
        <f t="shared" si="8"/>
        <v>46021</v>
      </c>
      <c r="G173">
        <f t="shared" si="9"/>
        <v>7</v>
      </c>
      <c r="H173" t="str">
        <f t="shared" si="10"/>
        <v>Tuesday</v>
      </c>
      <c r="I173" t="str">
        <f t="shared" si="11"/>
        <v>Dec</v>
      </c>
    </row>
    <row r="174" spans="1:9" x14ac:dyDescent="0.35">
      <c r="A174">
        <v>173</v>
      </c>
      <c r="B174" s="1">
        <v>45964.047949032072</v>
      </c>
      <c r="C174" t="s">
        <v>5</v>
      </c>
      <c r="D174" t="s">
        <v>13</v>
      </c>
      <c r="E174" t="s">
        <v>12</v>
      </c>
      <c r="F174" s="2">
        <f t="shared" si="8"/>
        <v>45964</v>
      </c>
      <c r="G174">
        <f t="shared" si="9"/>
        <v>1</v>
      </c>
      <c r="H174" t="str">
        <f t="shared" si="10"/>
        <v>Monday</v>
      </c>
      <c r="I174" t="str">
        <f t="shared" si="11"/>
        <v>Nov</v>
      </c>
    </row>
    <row r="175" spans="1:9" x14ac:dyDescent="0.35">
      <c r="A175">
        <v>174</v>
      </c>
      <c r="B175" s="1">
        <v>45959.216478346534</v>
      </c>
      <c r="C175" t="s">
        <v>15</v>
      </c>
      <c r="D175" t="s">
        <v>6</v>
      </c>
      <c r="E175" t="s">
        <v>12</v>
      </c>
      <c r="F175" s="2">
        <f t="shared" si="8"/>
        <v>45959</v>
      </c>
      <c r="G175">
        <f t="shared" si="9"/>
        <v>5</v>
      </c>
      <c r="H175" t="str">
        <f t="shared" si="10"/>
        <v>Wednesday</v>
      </c>
      <c r="I175" t="str">
        <f t="shared" si="11"/>
        <v>Oct</v>
      </c>
    </row>
    <row r="176" spans="1:9" x14ac:dyDescent="0.35">
      <c r="A176">
        <v>175</v>
      </c>
      <c r="B176" s="1">
        <v>45834.968087274799</v>
      </c>
      <c r="C176" t="s">
        <v>8</v>
      </c>
      <c r="D176" t="s">
        <v>9</v>
      </c>
      <c r="E176" t="s">
        <v>12</v>
      </c>
      <c r="F176" s="2">
        <f t="shared" si="8"/>
        <v>45834</v>
      </c>
      <c r="G176">
        <f t="shared" si="9"/>
        <v>23</v>
      </c>
      <c r="H176" t="str">
        <f t="shared" si="10"/>
        <v>Thursday</v>
      </c>
      <c r="I176" t="str">
        <f t="shared" si="11"/>
        <v>Jun</v>
      </c>
    </row>
    <row r="177" spans="1:9" x14ac:dyDescent="0.35">
      <c r="A177">
        <v>176</v>
      </c>
      <c r="B177" s="1">
        <v>45830.31328459736</v>
      </c>
      <c r="C177" t="s">
        <v>14</v>
      </c>
      <c r="D177" t="s">
        <v>11</v>
      </c>
      <c r="E177" t="s">
        <v>12</v>
      </c>
      <c r="F177" s="2">
        <f t="shared" si="8"/>
        <v>45830</v>
      </c>
      <c r="G177">
        <f t="shared" si="9"/>
        <v>7</v>
      </c>
      <c r="H177" t="str">
        <f t="shared" si="10"/>
        <v>Sunday</v>
      </c>
      <c r="I177" t="str">
        <f t="shared" si="11"/>
        <v>Jun</v>
      </c>
    </row>
    <row r="178" spans="1:9" x14ac:dyDescent="0.35">
      <c r="A178">
        <v>177</v>
      </c>
      <c r="B178" s="1">
        <v>45691.852431844258</v>
      </c>
      <c r="C178" t="s">
        <v>8</v>
      </c>
      <c r="D178" t="s">
        <v>9</v>
      </c>
      <c r="E178" t="s">
        <v>7</v>
      </c>
      <c r="F178" s="2">
        <f t="shared" si="8"/>
        <v>45691</v>
      </c>
      <c r="G178">
        <f t="shared" si="9"/>
        <v>20</v>
      </c>
      <c r="H178" t="str">
        <f t="shared" si="10"/>
        <v>Monday</v>
      </c>
      <c r="I178" t="str">
        <f t="shared" si="11"/>
        <v>Feb</v>
      </c>
    </row>
    <row r="179" spans="1:9" x14ac:dyDescent="0.35">
      <c r="A179">
        <v>178</v>
      </c>
      <c r="B179" s="1">
        <v>45782.49109873674</v>
      </c>
      <c r="C179" t="s">
        <v>5</v>
      </c>
      <c r="D179" t="s">
        <v>9</v>
      </c>
      <c r="E179" t="s">
        <v>12</v>
      </c>
      <c r="F179" s="2">
        <f t="shared" si="8"/>
        <v>45782</v>
      </c>
      <c r="G179">
        <f t="shared" si="9"/>
        <v>11</v>
      </c>
      <c r="H179" t="str">
        <f t="shared" si="10"/>
        <v>Monday</v>
      </c>
      <c r="I179" t="str">
        <f t="shared" si="11"/>
        <v>May</v>
      </c>
    </row>
    <row r="180" spans="1:9" x14ac:dyDescent="0.35">
      <c r="A180">
        <v>179</v>
      </c>
      <c r="B180" s="1">
        <v>45847.090732375596</v>
      </c>
      <c r="C180" t="s">
        <v>15</v>
      </c>
      <c r="D180" t="s">
        <v>6</v>
      </c>
      <c r="E180" t="s">
        <v>12</v>
      </c>
      <c r="F180" s="2">
        <f t="shared" si="8"/>
        <v>45847</v>
      </c>
      <c r="G180">
        <f t="shared" si="9"/>
        <v>2</v>
      </c>
      <c r="H180" t="str">
        <f t="shared" si="10"/>
        <v>Wednesday</v>
      </c>
      <c r="I180" t="str">
        <f t="shared" si="11"/>
        <v>Jul</v>
      </c>
    </row>
    <row r="181" spans="1:9" x14ac:dyDescent="0.35">
      <c r="A181">
        <v>180</v>
      </c>
      <c r="B181" s="1">
        <v>45823.787949416219</v>
      </c>
      <c r="C181" t="s">
        <v>15</v>
      </c>
      <c r="D181" t="s">
        <v>6</v>
      </c>
      <c r="E181" t="s">
        <v>7</v>
      </c>
      <c r="F181" s="2">
        <f t="shared" si="8"/>
        <v>45823</v>
      </c>
      <c r="G181">
        <f t="shared" si="9"/>
        <v>18</v>
      </c>
      <c r="H181" t="str">
        <f t="shared" si="10"/>
        <v>Sunday</v>
      </c>
      <c r="I181" t="str">
        <f t="shared" si="11"/>
        <v>Jun</v>
      </c>
    </row>
    <row r="182" spans="1:9" x14ac:dyDescent="0.35">
      <c r="A182">
        <v>181</v>
      </c>
      <c r="B182" s="1">
        <v>45982.56507309989</v>
      </c>
      <c r="C182" t="s">
        <v>5</v>
      </c>
      <c r="D182" t="s">
        <v>9</v>
      </c>
      <c r="E182" t="s">
        <v>12</v>
      </c>
      <c r="F182" s="2">
        <f t="shared" si="8"/>
        <v>45982</v>
      </c>
      <c r="G182">
        <f t="shared" si="9"/>
        <v>13</v>
      </c>
      <c r="H182" t="str">
        <f t="shared" si="10"/>
        <v>Friday</v>
      </c>
      <c r="I182" t="str">
        <f t="shared" si="11"/>
        <v>Nov</v>
      </c>
    </row>
    <row r="183" spans="1:9" x14ac:dyDescent="0.35">
      <c r="A183">
        <v>182</v>
      </c>
      <c r="B183" s="1">
        <v>46009.778564907319</v>
      </c>
      <c r="C183" t="s">
        <v>10</v>
      </c>
      <c r="D183" t="s">
        <v>13</v>
      </c>
      <c r="E183" t="s">
        <v>7</v>
      </c>
      <c r="F183" s="2">
        <f t="shared" si="8"/>
        <v>46009</v>
      </c>
      <c r="G183">
        <f t="shared" si="9"/>
        <v>18</v>
      </c>
      <c r="H183" t="str">
        <f t="shared" si="10"/>
        <v>Thursday</v>
      </c>
      <c r="I183" t="str">
        <f t="shared" si="11"/>
        <v>Dec</v>
      </c>
    </row>
    <row r="184" spans="1:9" x14ac:dyDescent="0.35">
      <c r="A184">
        <v>183</v>
      </c>
      <c r="B184" s="1">
        <v>45683.05540477945</v>
      </c>
      <c r="C184" t="s">
        <v>15</v>
      </c>
      <c r="D184" t="s">
        <v>11</v>
      </c>
      <c r="E184" t="s">
        <v>12</v>
      </c>
      <c r="F184" s="2">
        <f t="shared" si="8"/>
        <v>45683</v>
      </c>
      <c r="G184">
        <f t="shared" si="9"/>
        <v>1</v>
      </c>
      <c r="H184" t="str">
        <f t="shared" si="10"/>
        <v>Sunday</v>
      </c>
      <c r="I184" t="str">
        <f t="shared" si="11"/>
        <v>Jan</v>
      </c>
    </row>
    <row r="185" spans="1:9" x14ac:dyDescent="0.35">
      <c r="A185">
        <v>184</v>
      </c>
      <c r="B185" s="1">
        <v>45911.372361700436</v>
      </c>
      <c r="C185" t="s">
        <v>5</v>
      </c>
      <c r="D185" t="s">
        <v>13</v>
      </c>
      <c r="E185" t="s">
        <v>12</v>
      </c>
      <c r="F185" s="2">
        <f t="shared" si="8"/>
        <v>45911</v>
      </c>
      <c r="G185">
        <f t="shared" si="9"/>
        <v>8</v>
      </c>
      <c r="H185" t="str">
        <f t="shared" si="10"/>
        <v>Thursday</v>
      </c>
      <c r="I185" t="str">
        <f t="shared" si="11"/>
        <v>Sep</v>
      </c>
    </row>
    <row r="186" spans="1:9" x14ac:dyDescent="0.35">
      <c r="A186">
        <v>185</v>
      </c>
      <c r="B186" s="1">
        <v>45965.957009382866</v>
      </c>
      <c r="C186" t="s">
        <v>14</v>
      </c>
      <c r="D186" t="s">
        <v>11</v>
      </c>
      <c r="E186" t="s">
        <v>7</v>
      </c>
      <c r="F186" s="2">
        <f t="shared" si="8"/>
        <v>45965</v>
      </c>
      <c r="G186">
        <f t="shared" si="9"/>
        <v>22</v>
      </c>
      <c r="H186" t="str">
        <f t="shared" si="10"/>
        <v>Tuesday</v>
      </c>
      <c r="I186" t="str">
        <f t="shared" si="11"/>
        <v>Nov</v>
      </c>
    </row>
    <row r="187" spans="1:9" x14ac:dyDescent="0.35">
      <c r="A187">
        <v>186</v>
      </c>
      <c r="B187" s="1">
        <v>45797.393405075629</v>
      </c>
      <c r="C187" t="s">
        <v>10</v>
      </c>
      <c r="D187" t="s">
        <v>9</v>
      </c>
      <c r="E187" t="s">
        <v>12</v>
      </c>
      <c r="F187" s="2">
        <f t="shared" si="8"/>
        <v>45797</v>
      </c>
      <c r="G187">
        <f t="shared" si="9"/>
        <v>9</v>
      </c>
      <c r="H187" t="str">
        <f t="shared" si="10"/>
        <v>Tuesday</v>
      </c>
      <c r="I187" t="str">
        <f t="shared" si="11"/>
        <v>May</v>
      </c>
    </row>
    <row r="188" spans="1:9" x14ac:dyDescent="0.35">
      <c r="A188">
        <v>187</v>
      </c>
      <c r="B188" s="1">
        <v>46009.257816479098</v>
      </c>
      <c r="C188" t="s">
        <v>8</v>
      </c>
      <c r="D188" t="s">
        <v>13</v>
      </c>
      <c r="E188" t="s">
        <v>7</v>
      </c>
      <c r="F188" s="2">
        <f t="shared" si="8"/>
        <v>46009</v>
      </c>
      <c r="G188">
        <f t="shared" si="9"/>
        <v>6</v>
      </c>
      <c r="H188" t="str">
        <f t="shared" si="10"/>
        <v>Thursday</v>
      </c>
      <c r="I188" t="str">
        <f t="shared" si="11"/>
        <v>Dec</v>
      </c>
    </row>
    <row r="189" spans="1:9" x14ac:dyDescent="0.35">
      <c r="A189">
        <v>188</v>
      </c>
      <c r="B189" s="1">
        <v>45665.904179414742</v>
      </c>
      <c r="C189" t="s">
        <v>15</v>
      </c>
      <c r="D189" t="s">
        <v>9</v>
      </c>
      <c r="E189" t="s">
        <v>7</v>
      </c>
      <c r="F189" s="2">
        <f t="shared" si="8"/>
        <v>45665</v>
      </c>
      <c r="G189">
        <f t="shared" si="9"/>
        <v>21</v>
      </c>
      <c r="H189" t="str">
        <f t="shared" si="10"/>
        <v>Wednesday</v>
      </c>
      <c r="I189" t="str">
        <f t="shared" si="11"/>
        <v>Jan</v>
      </c>
    </row>
    <row r="190" spans="1:9" x14ac:dyDescent="0.35">
      <c r="A190">
        <v>189</v>
      </c>
      <c r="B190" s="1">
        <v>45872.755762662113</v>
      </c>
      <c r="C190" t="s">
        <v>14</v>
      </c>
      <c r="D190" t="s">
        <v>13</v>
      </c>
      <c r="E190" t="s">
        <v>7</v>
      </c>
      <c r="F190" s="2">
        <f t="shared" si="8"/>
        <v>45872</v>
      </c>
      <c r="G190">
        <f t="shared" si="9"/>
        <v>18</v>
      </c>
      <c r="H190" t="str">
        <f t="shared" si="10"/>
        <v>Sunday</v>
      </c>
      <c r="I190" t="str">
        <f t="shared" si="11"/>
        <v>Aug</v>
      </c>
    </row>
    <row r="191" spans="1:9" x14ac:dyDescent="0.35">
      <c r="A191">
        <v>190</v>
      </c>
      <c r="B191" s="1">
        <v>45983.306125778232</v>
      </c>
      <c r="C191" t="s">
        <v>5</v>
      </c>
      <c r="D191" t="s">
        <v>6</v>
      </c>
      <c r="E191" t="s">
        <v>12</v>
      </c>
      <c r="F191" s="2">
        <f t="shared" si="8"/>
        <v>45983</v>
      </c>
      <c r="G191">
        <f t="shared" si="9"/>
        <v>7</v>
      </c>
      <c r="H191" t="str">
        <f t="shared" si="10"/>
        <v>Saturday</v>
      </c>
      <c r="I191" t="str">
        <f t="shared" si="11"/>
        <v>Nov</v>
      </c>
    </row>
    <row r="192" spans="1:9" x14ac:dyDescent="0.35">
      <c r="A192">
        <v>191</v>
      </c>
      <c r="B192" s="1">
        <v>45696.43433859443</v>
      </c>
      <c r="C192" t="s">
        <v>8</v>
      </c>
      <c r="D192" t="s">
        <v>6</v>
      </c>
      <c r="E192" t="s">
        <v>12</v>
      </c>
      <c r="F192" s="2">
        <f t="shared" si="8"/>
        <v>45696</v>
      </c>
      <c r="G192">
        <f t="shared" si="9"/>
        <v>10</v>
      </c>
      <c r="H192" t="str">
        <f t="shared" si="10"/>
        <v>Saturday</v>
      </c>
      <c r="I192" t="str">
        <f t="shared" si="11"/>
        <v>Feb</v>
      </c>
    </row>
    <row r="193" spans="1:9" x14ac:dyDescent="0.35">
      <c r="A193">
        <v>192</v>
      </c>
      <c r="B193" s="1">
        <v>45847.926121763201</v>
      </c>
      <c r="C193" t="s">
        <v>15</v>
      </c>
      <c r="D193" t="s">
        <v>6</v>
      </c>
      <c r="E193" t="s">
        <v>12</v>
      </c>
      <c r="F193" s="2">
        <f t="shared" si="8"/>
        <v>45847</v>
      </c>
      <c r="G193">
        <f t="shared" si="9"/>
        <v>22</v>
      </c>
      <c r="H193" t="str">
        <f t="shared" si="10"/>
        <v>Wednesday</v>
      </c>
      <c r="I193" t="str">
        <f t="shared" si="11"/>
        <v>Jul</v>
      </c>
    </row>
    <row r="194" spans="1:9" x14ac:dyDescent="0.35">
      <c r="A194">
        <v>193</v>
      </c>
      <c r="B194" s="1">
        <v>45997.92750275421</v>
      </c>
      <c r="C194" t="s">
        <v>14</v>
      </c>
      <c r="D194" t="s">
        <v>6</v>
      </c>
      <c r="E194" t="s">
        <v>7</v>
      </c>
      <c r="F194" s="2">
        <f t="shared" si="8"/>
        <v>45997</v>
      </c>
      <c r="G194">
        <f t="shared" si="9"/>
        <v>22</v>
      </c>
      <c r="H194" t="str">
        <f t="shared" si="10"/>
        <v>Saturday</v>
      </c>
      <c r="I194" t="str">
        <f t="shared" si="11"/>
        <v>Dec</v>
      </c>
    </row>
    <row r="195" spans="1:9" x14ac:dyDescent="0.35">
      <c r="A195">
        <v>194</v>
      </c>
      <c r="B195" s="1">
        <v>45950.078467873202</v>
      </c>
      <c r="C195" t="s">
        <v>8</v>
      </c>
      <c r="D195" t="s">
        <v>9</v>
      </c>
      <c r="E195" t="s">
        <v>7</v>
      </c>
      <c r="F195" s="2">
        <f t="shared" ref="F195:F258" si="12">INT(B195)</f>
        <v>45950</v>
      </c>
      <c r="G195">
        <f t="shared" ref="G195:G258" si="13">HOUR(B195)</f>
        <v>1</v>
      </c>
      <c r="H195" t="str">
        <f t="shared" ref="H195:H258" si="14">TEXT(B195, "dddd")</f>
        <v>Monday</v>
      </c>
      <c r="I195" t="str">
        <f t="shared" ref="I195:I258" si="15">TEXT(B195, "mmm")</f>
        <v>Oct</v>
      </c>
    </row>
    <row r="196" spans="1:9" x14ac:dyDescent="0.35">
      <c r="A196">
        <v>195</v>
      </c>
      <c r="B196" s="1">
        <v>45665.289253851544</v>
      </c>
      <c r="C196" t="s">
        <v>15</v>
      </c>
      <c r="D196" t="s">
        <v>13</v>
      </c>
      <c r="E196" t="s">
        <v>12</v>
      </c>
      <c r="F196" s="2">
        <f t="shared" si="12"/>
        <v>45665</v>
      </c>
      <c r="G196">
        <f t="shared" si="13"/>
        <v>6</v>
      </c>
      <c r="H196" t="str">
        <f t="shared" si="14"/>
        <v>Wednesday</v>
      </c>
      <c r="I196" t="str">
        <f t="shared" si="15"/>
        <v>Jan</v>
      </c>
    </row>
    <row r="197" spans="1:9" x14ac:dyDescent="0.35">
      <c r="A197">
        <v>196</v>
      </c>
      <c r="B197" s="1">
        <v>45926.289150433178</v>
      </c>
      <c r="C197" t="s">
        <v>10</v>
      </c>
      <c r="D197" t="s">
        <v>9</v>
      </c>
      <c r="E197" t="s">
        <v>12</v>
      </c>
      <c r="F197" s="2">
        <f t="shared" si="12"/>
        <v>45926</v>
      </c>
      <c r="G197">
        <f t="shared" si="13"/>
        <v>6</v>
      </c>
      <c r="H197" t="str">
        <f t="shared" si="14"/>
        <v>Friday</v>
      </c>
      <c r="I197" t="str">
        <f t="shared" si="15"/>
        <v>Sep</v>
      </c>
    </row>
    <row r="198" spans="1:9" x14ac:dyDescent="0.35">
      <c r="A198">
        <v>197</v>
      </c>
      <c r="B198" s="1">
        <v>45807.592647105346</v>
      </c>
      <c r="C198" t="s">
        <v>8</v>
      </c>
      <c r="D198" t="s">
        <v>9</v>
      </c>
      <c r="E198" t="s">
        <v>12</v>
      </c>
      <c r="F198" s="2">
        <f t="shared" si="12"/>
        <v>45807</v>
      </c>
      <c r="G198">
        <f t="shared" si="13"/>
        <v>14</v>
      </c>
      <c r="H198" t="str">
        <f t="shared" si="14"/>
        <v>Friday</v>
      </c>
      <c r="I198" t="str">
        <f t="shared" si="15"/>
        <v>May</v>
      </c>
    </row>
    <row r="199" spans="1:9" x14ac:dyDescent="0.35">
      <c r="A199">
        <v>198</v>
      </c>
      <c r="B199" s="1">
        <v>45902.262880664013</v>
      </c>
      <c r="C199" t="s">
        <v>5</v>
      </c>
      <c r="D199" t="s">
        <v>11</v>
      </c>
      <c r="E199" t="s">
        <v>7</v>
      </c>
      <c r="F199" s="2">
        <f t="shared" si="12"/>
        <v>45902</v>
      </c>
      <c r="G199">
        <f t="shared" si="13"/>
        <v>6</v>
      </c>
      <c r="H199" t="str">
        <f t="shared" si="14"/>
        <v>Tuesday</v>
      </c>
      <c r="I199" t="str">
        <f t="shared" si="15"/>
        <v>Sep</v>
      </c>
    </row>
    <row r="200" spans="1:9" x14ac:dyDescent="0.35">
      <c r="A200">
        <v>199</v>
      </c>
      <c r="B200" s="1">
        <v>45894.244469318444</v>
      </c>
      <c r="C200" t="s">
        <v>8</v>
      </c>
      <c r="D200" t="s">
        <v>13</v>
      </c>
      <c r="E200" t="s">
        <v>12</v>
      </c>
      <c r="F200" s="2">
        <f t="shared" si="12"/>
        <v>45894</v>
      </c>
      <c r="G200">
        <f t="shared" si="13"/>
        <v>5</v>
      </c>
      <c r="H200" t="str">
        <f t="shared" si="14"/>
        <v>Monday</v>
      </c>
      <c r="I200" t="str">
        <f t="shared" si="15"/>
        <v>Aug</v>
      </c>
    </row>
    <row r="201" spans="1:9" x14ac:dyDescent="0.35">
      <c r="A201">
        <v>200</v>
      </c>
      <c r="B201" s="1">
        <v>45798.930377732962</v>
      </c>
      <c r="C201" t="s">
        <v>15</v>
      </c>
      <c r="D201" t="s">
        <v>6</v>
      </c>
      <c r="E201" t="s">
        <v>7</v>
      </c>
      <c r="F201" s="2">
        <f t="shared" si="12"/>
        <v>45798</v>
      </c>
      <c r="G201">
        <f t="shared" si="13"/>
        <v>22</v>
      </c>
      <c r="H201" t="str">
        <f t="shared" si="14"/>
        <v>Wednesday</v>
      </c>
      <c r="I201" t="str">
        <f t="shared" si="15"/>
        <v>May</v>
      </c>
    </row>
    <row r="202" spans="1:9" x14ac:dyDescent="0.35">
      <c r="A202">
        <v>201</v>
      </c>
      <c r="B202" s="1">
        <v>45733.403015768628</v>
      </c>
      <c r="C202" t="s">
        <v>15</v>
      </c>
      <c r="D202" t="s">
        <v>6</v>
      </c>
      <c r="E202" t="s">
        <v>12</v>
      </c>
      <c r="F202" s="2">
        <f t="shared" si="12"/>
        <v>45733</v>
      </c>
      <c r="G202">
        <f t="shared" si="13"/>
        <v>9</v>
      </c>
      <c r="H202" t="str">
        <f t="shared" si="14"/>
        <v>Monday</v>
      </c>
      <c r="I202" t="str">
        <f t="shared" si="15"/>
        <v>Mar</v>
      </c>
    </row>
    <row r="203" spans="1:9" x14ac:dyDescent="0.35">
      <c r="A203">
        <v>202</v>
      </c>
      <c r="B203" s="1">
        <v>45738.411389802954</v>
      </c>
      <c r="C203" t="s">
        <v>14</v>
      </c>
      <c r="D203" t="s">
        <v>11</v>
      </c>
      <c r="E203" t="s">
        <v>12</v>
      </c>
      <c r="F203" s="2">
        <f t="shared" si="12"/>
        <v>45738</v>
      </c>
      <c r="G203">
        <f t="shared" si="13"/>
        <v>9</v>
      </c>
      <c r="H203" t="str">
        <f t="shared" si="14"/>
        <v>Saturday</v>
      </c>
      <c r="I203" t="str">
        <f t="shared" si="15"/>
        <v>Mar</v>
      </c>
    </row>
    <row r="204" spans="1:9" x14ac:dyDescent="0.35">
      <c r="A204">
        <v>203</v>
      </c>
      <c r="B204" s="1">
        <v>45702.525599433669</v>
      </c>
      <c r="C204" t="s">
        <v>10</v>
      </c>
      <c r="D204" t="s">
        <v>13</v>
      </c>
      <c r="E204" t="s">
        <v>7</v>
      </c>
      <c r="F204" s="2">
        <f t="shared" si="12"/>
        <v>45702</v>
      </c>
      <c r="G204">
        <f t="shared" si="13"/>
        <v>12</v>
      </c>
      <c r="H204" t="str">
        <f t="shared" si="14"/>
        <v>Friday</v>
      </c>
      <c r="I204" t="str">
        <f t="shared" si="15"/>
        <v>Feb</v>
      </c>
    </row>
    <row r="205" spans="1:9" x14ac:dyDescent="0.35">
      <c r="A205">
        <v>204</v>
      </c>
      <c r="B205" s="1">
        <v>45842.78683687056</v>
      </c>
      <c r="C205" t="s">
        <v>5</v>
      </c>
      <c r="D205" t="s">
        <v>11</v>
      </c>
      <c r="E205" t="s">
        <v>12</v>
      </c>
      <c r="F205" s="2">
        <f t="shared" si="12"/>
        <v>45842</v>
      </c>
      <c r="G205">
        <f t="shared" si="13"/>
        <v>18</v>
      </c>
      <c r="H205" t="str">
        <f t="shared" si="14"/>
        <v>Friday</v>
      </c>
      <c r="I205" t="str">
        <f t="shared" si="15"/>
        <v>Jul</v>
      </c>
    </row>
    <row r="206" spans="1:9" x14ac:dyDescent="0.35">
      <c r="A206">
        <v>205</v>
      </c>
      <c r="B206" s="1">
        <v>45668.900230046129</v>
      </c>
      <c r="C206" t="s">
        <v>14</v>
      </c>
      <c r="D206" t="s">
        <v>9</v>
      </c>
      <c r="E206" t="s">
        <v>7</v>
      </c>
      <c r="F206" s="2">
        <f t="shared" si="12"/>
        <v>45668</v>
      </c>
      <c r="G206">
        <f t="shared" si="13"/>
        <v>21</v>
      </c>
      <c r="H206" t="str">
        <f t="shared" si="14"/>
        <v>Saturday</v>
      </c>
      <c r="I206" t="str">
        <f t="shared" si="15"/>
        <v>Jan</v>
      </c>
    </row>
    <row r="207" spans="1:9" x14ac:dyDescent="0.35">
      <c r="A207">
        <v>206</v>
      </c>
      <c r="B207" s="1">
        <v>45728.788724173064</v>
      </c>
      <c r="C207" t="s">
        <v>8</v>
      </c>
      <c r="D207" t="s">
        <v>11</v>
      </c>
      <c r="E207" t="s">
        <v>12</v>
      </c>
      <c r="F207" s="2">
        <f t="shared" si="12"/>
        <v>45728</v>
      </c>
      <c r="G207">
        <f t="shared" si="13"/>
        <v>18</v>
      </c>
      <c r="H207" t="str">
        <f t="shared" si="14"/>
        <v>Wednesday</v>
      </c>
      <c r="I207" t="str">
        <f t="shared" si="15"/>
        <v>Mar</v>
      </c>
    </row>
    <row r="208" spans="1:9" x14ac:dyDescent="0.35">
      <c r="A208">
        <v>207</v>
      </c>
      <c r="B208" s="1">
        <v>45728.134300927923</v>
      </c>
      <c r="C208" t="s">
        <v>5</v>
      </c>
      <c r="D208" t="s">
        <v>13</v>
      </c>
      <c r="E208" t="s">
        <v>12</v>
      </c>
      <c r="F208" s="2">
        <f t="shared" si="12"/>
        <v>45728</v>
      </c>
      <c r="G208">
        <f t="shared" si="13"/>
        <v>3</v>
      </c>
      <c r="H208" t="str">
        <f t="shared" si="14"/>
        <v>Wednesday</v>
      </c>
      <c r="I208" t="str">
        <f t="shared" si="15"/>
        <v>Mar</v>
      </c>
    </row>
    <row r="209" spans="1:9" x14ac:dyDescent="0.35">
      <c r="A209">
        <v>208</v>
      </c>
      <c r="B209" s="1">
        <v>45819.711594367</v>
      </c>
      <c r="C209" t="s">
        <v>14</v>
      </c>
      <c r="D209" t="s">
        <v>11</v>
      </c>
      <c r="E209" t="s">
        <v>12</v>
      </c>
      <c r="F209" s="2">
        <f t="shared" si="12"/>
        <v>45819</v>
      </c>
      <c r="G209">
        <f t="shared" si="13"/>
        <v>17</v>
      </c>
      <c r="H209" t="str">
        <f t="shared" si="14"/>
        <v>Wednesday</v>
      </c>
      <c r="I209" t="str">
        <f t="shared" si="15"/>
        <v>Jun</v>
      </c>
    </row>
    <row r="210" spans="1:9" x14ac:dyDescent="0.35">
      <c r="A210">
        <v>209</v>
      </c>
      <c r="B210" s="1">
        <v>45697.182384216656</v>
      </c>
      <c r="C210" t="s">
        <v>14</v>
      </c>
      <c r="D210" t="s">
        <v>11</v>
      </c>
      <c r="E210" t="s">
        <v>12</v>
      </c>
      <c r="F210" s="2">
        <f t="shared" si="12"/>
        <v>45697</v>
      </c>
      <c r="G210">
        <f t="shared" si="13"/>
        <v>4</v>
      </c>
      <c r="H210" t="str">
        <f t="shared" si="14"/>
        <v>Sunday</v>
      </c>
      <c r="I210" t="str">
        <f t="shared" si="15"/>
        <v>Feb</v>
      </c>
    </row>
    <row r="211" spans="1:9" x14ac:dyDescent="0.35">
      <c r="A211">
        <v>210</v>
      </c>
      <c r="B211" s="1">
        <v>45715.326472260698</v>
      </c>
      <c r="C211" t="s">
        <v>5</v>
      </c>
      <c r="D211" t="s">
        <v>11</v>
      </c>
      <c r="E211" t="s">
        <v>7</v>
      </c>
      <c r="F211" s="2">
        <f t="shared" si="12"/>
        <v>45715</v>
      </c>
      <c r="G211">
        <f t="shared" si="13"/>
        <v>7</v>
      </c>
      <c r="H211" t="str">
        <f t="shared" si="14"/>
        <v>Thursday</v>
      </c>
      <c r="I211" t="str">
        <f t="shared" si="15"/>
        <v>Feb</v>
      </c>
    </row>
    <row r="212" spans="1:9" x14ac:dyDescent="0.35">
      <c r="A212">
        <v>211</v>
      </c>
      <c r="B212" s="1">
        <v>45796.180734741487</v>
      </c>
      <c r="C212" t="s">
        <v>8</v>
      </c>
      <c r="D212" t="s">
        <v>11</v>
      </c>
      <c r="E212" t="s">
        <v>12</v>
      </c>
      <c r="F212" s="2">
        <f t="shared" si="12"/>
        <v>45796</v>
      </c>
      <c r="G212">
        <f t="shared" si="13"/>
        <v>4</v>
      </c>
      <c r="H212" t="str">
        <f t="shared" si="14"/>
        <v>Monday</v>
      </c>
      <c r="I212" t="str">
        <f t="shared" si="15"/>
        <v>May</v>
      </c>
    </row>
    <row r="213" spans="1:9" x14ac:dyDescent="0.35">
      <c r="A213">
        <v>212</v>
      </c>
      <c r="B213" s="1">
        <v>45974.198214493998</v>
      </c>
      <c r="C213" t="s">
        <v>5</v>
      </c>
      <c r="D213" t="s">
        <v>9</v>
      </c>
      <c r="E213" t="s">
        <v>7</v>
      </c>
      <c r="F213" s="2">
        <f t="shared" si="12"/>
        <v>45974</v>
      </c>
      <c r="G213">
        <f t="shared" si="13"/>
        <v>4</v>
      </c>
      <c r="H213" t="str">
        <f t="shared" si="14"/>
        <v>Thursday</v>
      </c>
      <c r="I213" t="str">
        <f t="shared" si="15"/>
        <v>Nov</v>
      </c>
    </row>
    <row r="214" spans="1:9" x14ac:dyDescent="0.35">
      <c r="A214">
        <v>213</v>
      </c>
      <c r="B214" s="1">
        <v>45669.326288947239</v>
      </c>
      <c r="C214" t="s">
        <v>15</v>
      </c>
      <c r="D214" t="s">
        <v>11</v>
      </c>
      <c r="E214" t="s">
        <v>7</v>
      </c>
      <c r="F214" s="2">
        <f t="shared" si="12"/>
        <v>45669</v>
      </c>
      <c r="G214">
        <f t="shared" si="13"/>
        <v>7</v>
      </c>
      <c r="H214" t="str">
        <f t="shared" si="14"/>
        <v>Sunday</v>
      </c>
      <c r="I214" t="str">
        <f t="shared" si="15"/>
        <v>Jan</v>
      </c>
    </row>
    <row r="215" spans="1:9" x14ac:dyDescent="0.35">
      <c r="A215">
        <v>214</v>
      </c>
      <c r="B215" s="1">
        <v>45996.019176644804</v>
      </c>
      <c r="C215" t="s">
        <v>14</v>
      </c>
      <c r="D215" t="s">
        <v>6</v>
      </c>
      <c r="E215" t="s">
        <v>12</v>
      </c>
      <c r="F215" s="2">
        <f t="shared" si="12"/>
        <v>45996</v>
      </c>
      <c r="G215">
        <f t="shared" si="13"/>
        <v>0</v>
      </c>
      <c r="H215" t="str">
        <f t="shared" si="14"/>
        <v>Friday</v>
      </c>
      <c r="I215" t="str">
        <f t="shared" si="15"/>
        <v>Dec</v>
      </c>
    </row>
    <row r="216" spans="1:9" x14ac:dyDescent="0.35">
      <c r="A216">
        <v>215</v>
      </c>
      <c r="B216" s="1">
        <v>45998.408014551351</v>
      </c>
      <c r="C216" t="s">
        <v>14</v>
      </c>
      <c r="D216" t="s">
        <v>9</v>
      </c>
      <c r="E216" t="s">
        <v>12</v>
      </c>
      <c r="F216" s="2">
        <f t="shared" si="12"/>
        <v>45998</v>
      </c>
      <c r="G216">
        <f t="shared" si="13"/>
        <v>9</v>
      </c>
      <c r="H216" t="str">
        <f t="shared" si="14"/>
        <v>Sunday</v>
      </c>
      <c r="I216" t="str">
        <f t="shared" si="15"/>
        <v>Dec</v>
      </c>
    </row>
    <row r="217" spans="1:9" x14ac:dyDescent="0.35">
      <c r="A217">
        <v>216</v>
      </c>
      <c r="B217" s="1">
        <v>45868.15093197731</v>
      </c>
      <c r="C217" t="s">
        <v>8</v>
      </c>
      <c r="D217" t="s">
        <v>11</v>
      </c>
      <c r="E217" t="s">
        <v>7</v>
      </c>
      <c r="F217" s="2">
        <f t="shared" si="12"/>
        <v>45868</v>
      </c>
      <c r="G217">
        <f t="shared" si="13"/>
        <v>3</v>
      </c>
      <c r="H217" t="str">
        <f t="shared" si="14"/>
        <v>Wednesday</v>
      </c>
      <c r="I217" t="str">
        <f t="shared" si="15"/>
        <v>Jul</v>
      </c>
    </row>
    <row r="218" spans="1:9" x14ac:dyDescent="0.35">
      <c r="A218">
        <v>217</v>
      </c>
      <c r="B218" s="1">
        <v>45852.171900442409</v>
      </c>
      <c r="C218" t="s">
        <v>8</v>
      </c>
      <c r="D218" t="s">
        <v>11</v>
      </c>
      <c r="E218" t="s">
        <v>12</v>
      </c>
      <c r="F218" s="2">
        <f t="shared" si="12"/>
        <v>45852</v>
      </c>
      <c r="G218">
        <f t="shared" si="13"/>
        <v>4</v>
      </c>
      <c r="H218" t="str">
        <f t="shared" si="14"/>
        <v>Monday</v>
      </c>
      <c r="I218" t="str">
        <f t="shared" si="15"/>
        <v>Jul</v>
      </c>
    </row>
    <row r="219" spans="1:9" x14ac:dyDescent="0.35">
      <c r="A219">
        <v>218</v>
      </c>
      <c r="B219" s="1">
        <v>45833.536109546527</v>
      </c>
      <c r="C219" t="s">
        <v>15</v>
      </c>
      <c r="D219" t="s">
        <v>13</v>
      </c>
      <c r="E219" t="s">
        <v>7</v>
      </c>
      <c r="F219" s="2">
        <f t="shared" si="12"/>
        <v>45833</v>
      </c>
      <c r="G219">
        <f t="shared" si="13"/>
        <v>12</v>
      </c>
      <c r="H219" t="str">
        <f t="shared" si="14"/>
        <v>Wednesday</v>
      </c>
      <c r="I219" t="str">
        <f t="shared" si="15"/>
        <v>Jun</v>
      </c>
    </row>
    <row r="220" spans="1:9" x14ac:dyDescent="0.35">
      <c r="A220">
        <v>219</v>
      </c>
      <c r="B220" s="1">
        <v>46004.748734644825</v>
      </c>
      <c r="C220" t="s">
        <v>5</v>
      </c>
      <c r="D220" t="s">
        <v>6</v>
      </c>
      <c r="E220" t="s">
        <v>7</v>
      </c>
      <c r="F220" s="2">
        <f t="shared" si="12"/>
        <v>46004</v>
      </c>
      <c r="G220">
        <f t="shared" si="13"/>
        <v>17</v>
      </c>
      <c r="H220" t="str">
        <f t="shared" si="14"/>
        <v>Saturday</v>
      </c>
      <c r="I220" t="str">
        <f t="shared" si="15"/>
        <v>Dec</v>
      </c>
    </row>
    <row r="221" spans="1:9" x14ac:dyDescent="0.35">
      <c r="A221">
        <v>220</v>
      </c>
      <c r="B221" s="1">
        <v>45695.034287605471</v>
      </c>
      <c r="C221" t="s">
        <v>8</v>
      </c>
      <c r="D221" t="s">
        <v>11</v>
      </c>
      <c r="E221" t="s">
        <v>12</v>
      </c>
      <c r="F221" s="2">
        <f t="shared" si="12"/>
        <v>45695</v>
      </c>
      <c r="G221">
        <f t="shared" si="13"/>
        <v>0</v>
      </c>
      <c r="H221" t="str">
        <f t="shared" si="14"/>
        <v>Friday</v>
      </c>
      <c r="I221" t="str">
        <f t="shared" si="15"/>
        <v>Feb</v>
      </c>
    </row>
    <row r="222" spans="1:9" x14ac:dyDescent="0.35">
      <c r="A222">
        <v>221</v>
      </c>
      <c r="B222" s="1">
        <v>45875.933493274715</v>
      </c>
      <c r="C222" t="s">
        <v>5</v>
      </c>
      <c r="D222" t="s">
        <v>9</v>
      </c>
      <c r="E222" t="s">
        <v>12</v>
      </c>
      <c r="F222" s="2">
        <f t="shared" si="12"/>
        <v>45875</v>
      </c>
      <c r="G222">
        <f t="shared" si="13"/>
        <v>22</v>
      </c>
      <c r="H222" t="str">
        <f t="shared" si="14"/>
        <v>Wednesday</v>
      </c>
      <c r="I222" t="str">
        <f t="shared" si="15"/>
        <v>Aug</v>
      </c>
    </row>
    <row r="223" spans="1:9" x14ac:dyDescent="0.35">
      <c r="A223">
        <v>222</v>
      </c>
      <c r="B223" s="1">
        <v>45965.13872982371</v>
      </c>
      <c r="C223" t="s">
        <v>15</v>
      </c>
      <c r="D223" t="s">
        <v>6</v>
      </c>
      <c r="E223" t="s">
        <v>12</v>
      </c>
      <c r="F223" s="2">
        <f t="shared" si="12"/>
        <v>45965</v>
      </c>
      <c r="G223">
        <f t="shared" si="13"/>
        <v>3</v>
      </c>
      <c r="H223" t="str">
        <f t="shared" si="14"/>
        <v>Tuesday</v>
      </c>
      <c r="I223" t="str">
        <f t="shared" si="15"/>
        <v>Nov</v>
      </c>
    </row>
    <row r="224" spans="1:9" x14ac:dyDescent="0.35">
      <c r="A224">
        <v>223</v>
      </c>
      <c r="B224" s="1">
        <v>45693.251960827358</v>
      </c>
      <c r="C224" t="s">
        <v>15</v>
      </c>
      <c r="D224" t="s">
        <v>9</v>
      </c>
      <c r="E224" t="s">
        <v>12</v>
      </c>
      <c r="F224" s="2">
        <f t="shared" si="12"/>
        <v>45693</v>
      </c>
      <c r="G224">
        <f t="shared" si="13"/>
        <v>6</v>
      </c>
      <c r="H224" t="str">
        <f t="shared" si="14"/>
        <v>Wednesday</v>
      </c>
      <c r="I224" t="str">
        <f t="shared" si="15"/>
        <v>Feb</v>
      </c>
    </row>
    <row r="225" spans="1:9" x14ac:dyDescent="0.35">
      <c r="A225">
        <v>224</v>
      </c>
      <c r="B225" s="1">
        <v>45946.934572897473</v>
      </c>
      <c r="C225" t="s">
        <v>14</v>
      </c>
      <c r="D225" t="s">
        <v>13</v>
      </c>
      <c r="E225" t="s">
        <v>12</v>
      </c>
      <c r="F225" s="2">
        <f t="shared" si="12"/>
        <v>45946</v>
      </c>
      <c r="G225">
        <f t="shared" si="13"/>
        <v>22</v>
      </c>
      <c r="H225" t="str">
        <f t="shared" si="14"/>
        <v>Thursday</v>
      </c>
      <c r="I225" t="str">
        <f t="shared" si="15"/>
        <v>Oct</v>
      </c>
    </row>
    <row r="226" spans="1:9" x14ac:dyDescent="0.35">
      <c r="A226">
        <v>225</v>
      </c>
      <c r="B226" s="1">
        <v>45963.933775115584</v>
      </c>
      <c r="C226" t="s">
        <v>15</v>
      </c>
      <c r="D226" t="s">
        <v>13</v>
      </c>
      <c r="E226" t="s">
        <v>12</v>
      </c>
      <c r="F226" s="2">
        <f t="shared" si="12"/>
        <v>45963</v>
      </c>
      <c r="G226">
        <f t="shared" si="13"/>
        <v>22</v>
      </c>
      <c r="H226" t="str">
        <f t="shared" si="14"/>
        <v>Sunday</v>
      </c>
      <c r="I226" t="str">
        <f t="shared" si="15"/>
        <v>Nov</v>
      </c>
    </row>
    <row r="227" spans="1:9" x14ac:dyDescent="0.35">
      <c r="A227">
        <v>226</v>
      </c>
      <c r="B227" s="1">
        <v>45772.513014549557</v>
      </c>
      <c r="C227" t="s">
        <v>15</v>
      </c>
      <c r="D227" t="s">
        <v>9</v>
      </c>
      <c r="E227" t="s">
        <v>7</v>
      </c>
      <c r="F227" s="2">
        <f t="shared" si="12"/>
        <v>45772</v>
      </c>
      <c r="G227">
        <f t="shared" si="13"/>
        <v>12</v>
      </c>
      <c r="H227" t="str">
        <f t="shared" si="14"/>
        <v>Friday</v>
      </c>
      <c r="I227" t="str">
        <f t="shared" si="15"/>
        <v>Apr</v>
      </c>
    </row>
    <row r="228" spans="1:9" x14ac:dyDescent="0.35">
      <c r="A228">
        <v>227</v>
      </c>
      <c r="B228" s="1">
        <v>45714.497532051879</v>
      </c>
      <c r="C228" t="s">
        <v>5</v>
      </c>
      <c r="D228" t="s">
        <v>13</v>
      </c>
      <c r="E228" t="s">
        <v>7</v>
      </c>
      <c r="F228" s="2">
        <f t="shared" si="12"/>
        <v>45714</v>
      </c>
      <c r="G228">
        <f t="shared" si="13"/>
        <v>11</v>
      </c>
      <c r="H228" t="str">
        <f t="shared" si="14"/>
        <v>Wednesday</v>
      </c>
      <c r="I228" t="str">
        <f t="shared" si="15"/>
        <v>Feb</v>
      </c>
    </row>
    <row r="229" spans="1:9" x14ac:dyDescent="0.35">
      <c r="A229">
        <v>228</v>
      </c>
      <c r="B229" s="1">
        <v>45872.877842443202</v>
      </c>
      <c r="C229" t="s">
        <v>14</v>
      </c>
      <c r="D229" t="s">
        <v>11</v>
      </c>
      <c r="E229" t="s">
        <v>7</v>
      </c>
      <c r="F229" s="2">
        <f t="shared" si="12"/>
        <v>45872</v>
      </c>
      <c r="G229">
        <f t="shared" si="13"/>
        <v>21</v>
      </c>
      <c r="H229" t="str">
        <f t="shared" si="14"/>
        <v>Sunday</v>
      </c>
      <c r="I229" t="str">
        <f t="shared" si="15"/>
        <v>Aug</v>
      </c>
    </row>
    <row r="230" spans="1:9" x14ac:dyDescent="0.35">
      <c r="A230">
        <v>229</v>
      </c>
      <c r="B230" s="1">
        <v>45918.247492392991</v>
      </c>
      <c r="C230" t="s">
        <v>10</v>
      </c>
      <c r="D230" t="s">
        <v>13</v>
      </c>
      <c r="E230" t="s">
        <v>7</v>
      </c>
      <c r="F230" s="2">
        <f t="shared" si="12"/>
        <v>45918</v>
      </c>
      <c r="G230">
        <f t="shared" si="13"/>
        <v>5</v>
      </c>
      <c r="H230" t="str">
        <f t="shared" si="14"/>
        <v>Thursday</v>
      </c>
      <c r="I230" t="str">
        <f t="shared" si="15"/>
        <v>Sep</v>
      </c>
    </row>
    <row r="231" spans="1:9" x14ac:dyDescent="0.35">
      <c r="A231">
        <v>230</v>
      </c>
      <c r="B231" s="1">
        <v>45678.506192383596</v>
      </c>
      <c r="C231" t="s">
        <v>10</v>
      </c>
      <c r="D231" t="s">
        <v>11</v>
      </c>
      <c r="E231" t="s">
        <v>12</v>
      </c>
      <c r="F231" s="2">
        <f t="shared" si="12"/>
        <v>45678</v>
      </c>
      <c r="G231">
        <f t="shared" si="13"/>
        <v>12</v>
      </c>
      <c r="H231" t="str">
        <f t="shared" si="14"/>
        <v>Tuesday</v>
      </c>
      <c r="I231" t="str">
        <f t="shared" si="15"/>
        <v>Jan</v>
      </c>
    </row>
    <row r="232" spans="1:9" x14ac:dyDescent="0.35">
      <c r="A232">
        <v>231</v>
      </c>
      <c r="B232" s="1">
        <v>45963.883265129763</v>
      </c>
      <c r="C232" t="s">
        <v>5</v>
      </c>
      <c r="D232" t="s">
        <v>9</v>
      </c>
      <c r="E232" t="s">
        <v>12</v>
      </c>
      <c r="F232" s="2">
        <f t="shared" si="12"/>
        <v>45963</v>
      </c>
      <c r="G232">
        <f t="shared" si="13"/>
        <v>21</v>
      </c>
      <c r="H232" t="str">
        <f t="shared" si="14"/>
        <v>Sunday</v>
      </c>
      <c r="I232" t="str">
        <f t="shared" si="15"/>
        <v>Nov</v>
      </c>
    </row>
    <row r="233" spans="1:9" x14ac:dyDescent="0.35">
      <c r="A233">
        <v>232</v>
      </c>
      <c r="B233" s="1">
        <v>45896.653795631064</v>
      </c>
      <c r="C233" t="s">
        <v>14</v>
      </c>
      <c r="D233" t="s">
        <v>11</v>
      </c>
      <c r="E233" t="s">
        <v>7</v>
      </c>
      <c r="F233" s="2">
        <f t="shared" si="12"/>
        <v>45896</v>
      </c>
      <c r="G233">
        <f t="shared" si="13"/>
        <v>15</v>
      </c>
      <c r="H233" t="str">
        <f t="shared" si="14"/>
        <v>Wednesday</v>
      </c>
      <c r="I233" t="str">
        <f t="shared" si="15"/>
        <v>Aug</v>
      </c>
    </row>
    <row r="234" spans="1:9" x14ac:dyDescent="0.35">
      <c r="A234">
        <v>233</v>
      </c>
      <c r="B234" s="1">
        <v>45703.02858173877</v>
      </c>
      <c r="C234" t="s">
        <v>5</v>
      </c>
      <c r="D234" t="s">
        <v>11</v>
      </c>
      <c r="E234" t="s">
        <v>7</v>
      </c>
      <c r="F234" s="2">
        <f t="shared" si="12"/>
        <v>45703</v>
      </c>
      <c r="G234">
        <f t="shared" si="13"/>
        <v>0</v>
      </c>
      <c r="H234" t="str">
        <f t="shared" si="14"/>
        <v>Saturday</v>
      </c>
      <c r="I234" t="str">
        <f t="shared" si="15"/>
        <v>Feb</v>
      </c>
    </row>
    <row r="235" spans="1:9" x14ac:dyDescent="0.35">
      <c r="A235">
        <v>234</v>
      </c>
      <c r="B235" s="1">
        <v>45856.689413840053</v>
      </c>
      <c r="C235" t="s">
        <v>8</v>
      </c>
      <c r="D235" t="s">
        <v>13</v>
      </c>
      <c r="E235" t="s">
        <v>12</v>
      </c>
      <c r="F235" s="2">
        <f t="shared" si="12"/>
        <v>45856</v>
      </c>
      <c r="G235">
        <f t="shared" si="13"/>
        <v>16</v>
      </c>
      <c r="H235" t="str">
        <f t="shared" si="14"/>
        <v>Friday</v>
      </c>
      <c r="I235" t="str">
        <f t="shared" si="15"/>
        <v>Jul</v>
      </c>
    </row>
    <row r="236" spans="1:9" x14ac:dyDescent="0.35">
      <c r="A236">
        <v>235</v>
      </c>
      <c r="B236" s="1">
        <v>45974.985254583378</v>
      </c>
      <c r="C236" t="s">
        <v>14</v>
      </c>
      <c r="D236" t="s">
        <v>13</v>
      </c>
      <c r="E236" t="s">
        <v>7</v>
      </c>
      <c r="F236" s="2">
        <f t="shared" si="12"/>
        <v>45974</v>
      </c>
      <c r="G236">
        <f t="shared" si="13"/>
        <v>23</v>
      </c>
      <c r="H236" t="str">
        <f t="shared" si="14"/>
        <v>Thursday</v>
      </c>
      <c r="I236" t="str">
        <f t="shared" si="15"/>
        <v>Nov</v>
      </c>
    </row>
    <row r="237" spans="1:9" x14ac:dyDescent="0.35">
      <c r="A237">
        <v>236</v>
      </c>
      <c r="B237" s="1">
        <v>45973.861967927631</v>
      </c>
      <c r="C237" t="s">
        <v>8</v>
      </c>
      <c r="D237" t="s">
        <v>9</v>
      </c>
      <c r="E237" t="s">
        <v>7</v>
      </c>
      <c r="F237" s="2">
        <f t="shared" si="12"/>
        <v>45973</v>
      </c>
      <c r="G237">
        <f t="shared" si="13"/>
        <v>20</v>
      </c>
      <c r="H237" t="str">
        <f t="shared" si="14"/>
        <v>Wednesday</v>
      </c>
      <c r="I237" t="str">
        <f t="shared" si="15"/>
        <v>Nov</v>
      </c>
    </row>
    <row r="238" spans="1:9" x14ac:dyDescent="0.35">
      <c r="A238">
        <v>237</v>
      </c>
      <c r="B238" s="1">
        <v>45868.773314410733</v>
      </c>
      <c r="C238" t="s">
        <v>14</v>
      </c>
      <c r="D238" t="s">
        <v>13</v>
      </c>
      <c r="E238" t="s">
        <v>12</v>
      </c>
      <c r="F238" s="2">
        <f t="shared" si="12"/>
        <v>45868</v>
      </c>
      <c r="G238">
        <f t="shared" si="13"/>
        <v>18</v>
      </c>
      <c r="H238" t="str">
        <f t="shared" si="14"/>
        <v>Wednesday</v>
      </c>
      <c r="I238" t="str">
        <f t="shared" si="15"/>
        <v>Jul</v>
      </c>
    </row>
    <row r="239" spans="1:9" x14ac:dyDescent="0.35">
      <c r="A239">
        <v>238</v>
      </c>
      <c r="B239" s="1">
        <v>45893.90461914186</v>
      </c>
      <c r="C239" t="s">
        <v>10</v>
      </c>
      <c r="D239" t="s">
        <v>13</v>
      </c>
      <c r="E239" t="s">
        <v>7</v>
      </c>
      <c r="F239" s="2">
        <f t="shared" si="12"/>
        <v>45893</v>
      </c>
      <c r="G239">
        <f t="shared" si="13"/>
        <v>21</v>
      </c>
      <c r="H239" t="str">
        <f t="shared" si="14"/>
        <v>Sunday</v>
      </c>
      <c r="I239" t="str">
        <f t="shared" si="15"/>
        <v>Aug</v>
      </c>
    </row>
    <row r="240" spans="1:9" x14ac:dyDescent="0.35">
      <c r="A240">
        <v>239</v>
      </c>
      <c r="B240" s="1">
        <v>45740.180369858273</v>
      </c>
      <c r="C240" t="s">
        <v>15</v>
      </c>
      <c r="D240" t="s">
        <v>11</v>
      </c>
      <c r="E240" t="s">
        <v>12</v>
      </c>
      <c r="F240" s="2">
        <f t="shared" si="12"/>
        <v>45740</v>
      </c>
      <c r="G240">
        <f t="shared" si="13"/>
        <v>4</v>
      </c>
      <c r="H240" t="str">
        <f t="shared" si="14"/>
        <v>Monday</v>
      </c>
      <c r="I240" t="str">
        <f t="shared" si="15"/>
        <v>Mar</v>
      </c>
    </row>
    <row r="241" spans="1:9" x14ac:dyDescent="0.35">
      <c r="A241">
        <v>240</v>
      </c>
      <c r="B241" s="1">
        <v>45857.535599212541</v>
      </c>
      <c r="C241" t="s">
        <v>10</v>
      </c>
      <c r="D241" t="s">
        <v>13</v>
      </c>
      <c r="E241" t="s">
        <v>12</v>
      </c>
      <c r="F241" s="2">
        <f t="shared" si="12"/>
        <v>45857</v>
      </c>
      <c r="G241">
        <f t="shared" si="13"/>
        <v>12</v>
      </c>
      <c r="H241" t="str">
        <f t="shared" si="14"/>
        <v>Saturday</v>
      </c>
      <c r="I241" t="str">
        <f t="shared" si="15"/>
        <v>Jul</v>
      </c>
    </row>
    <row r="242" spans="1:9" x14ac:dyDescent="0.35">
      <c r="A242">
        <v>241</v>
      </c>
      <c r="B242" s="1">
        <v>45706.155183953335</v>
      </c>
      <c r="C242" t="s">
        <v>8</v>
      </c>
      <c r="D242" t="s">
        <v>6</v>
      </c>
      <c r="E242" t="s">
        <v>12</v>
      </c>
      <c r="F242" s="2">
        <f t="shared" si="12"/>
        <v>45706</v>
      </c>
      <c r="G242">
        <f t="shared" si="13"/>
        <v>3</v>
      </c>
      <c r="H242" t="str">
        <f t="shared" si="14"/>
        <v>Tuesday</v>
      </c>
      <c r="I242" t="str">
        <f t="shared" si="15"/>
        <v>Feb</v>
      </c>
    </row>
    <row r="243" spans="1:9" x14ac:dyDescent="0.35">
      <c r="A243">
        <v>242</v>
      </c>
      <c r="B243" s="1">
        <v>45805.202742154885</v>
      </c>
      <c r="C243" t="s">
        <v>14</v>
      </c>
      <c r="D243" t="s">
        <v>9</v>
      </c>
      <c r="E243" t="s">
        <v>12</v>
      </c>
      <c r="F243" s="2">
        <f t="shared" si="12"/>
        <v>45805</v>
      </c>
      <c r="G243">
        <f t="shared" si="13"/>
        <v>4</v>
      </c>
      <c r="H243" t="str">
        <f t="shared" si="14"/>
        <v>Wednesday</v>
      </c>
      <c r="I243" t="str">
        <f t="shared" si="15"/>
        <v>May</v>
      </c>
    </row>
    <row r="244" spans="1:9" x14ac:dyDescent="0.35">
      <c r="A244">
        <v>243</v>
      </c>
      <c r="B244" s="1">
        <v>45854.155261484659</v>
      </c>
      <c r="C244" t="s">
        <v>8</v>
      </c>
      <c r="D244" t="s">
        <v>9</v>
      </c>
      <c r="E244" t="s">
        <v>7</v>
      </c>
      <c r="F244" s="2">
        <f t="shared" si="12"/>
        <v>45854</v>
      </c>
      <c r="G244">
        <f t="shared" si="13"/>
        <v>3</v>
      </c>
      <c r="H244" t="str">
        <f t="shared" si="14"/>
        <v>Wednesday</v>
      </c>
      <c r="I244" t="str">
        <f t="shared" si="15"/>
        <v>Jul</v>
      </c>
    </row>
    <row r="245" spans="1:9" x14ac:dyDescent="0.35">
      <c r="A245">
        <v>244</v>
      </c>
      <c r="B245" s="1">
        <v>45828.791587150416</v>
      </c>
      <c r="C245" t="s">
        <v>10</v>
      </c>
      <c r="D245" t="s">
        <v>13</v>
      </c>
      <c r="E245" t="s">
        <v>12</v>
      </c>
      <c r="F245" s="2">
        <f t="shared" si="12"/>
        <v>45828</v>
      </c>
      <c r="G245">
        <f t="shared" si="13"/>
        <v>18</v>
      </c>
      <c r="H245" t="str">
        <f t="shared" si="14"/>
        <v>Friday</v>
      </c>
      <c r="I245" t="str">
        <f t="shared" si="15"/>
        <v>Jun</v>
      </c>
    </row>
    <row r="246" spans="1:9" x14ac:dyDescent="0.35">
      <c r="A246">
        <v>245</v>
      </c>
      <c r="B246" s="1">
        <v>45729.4937539397</v>
      </c>
      <c r="C246" t="s">
        <v>8</v>
      </c>
      <c r="D246" t="s">
        <v>11</v>
      </c>
      <c r="E246" t="s">
        <v>7</v>
      </c>
      <c r="F246" s="2">
        <f t="shared" si="12"/>
        <v>45729</v>
      </c>
      <c r="G246">
        <f t="shared" si="13"/>
        <v>11</v>
      </c>
      <c r="H246" t="str">
        <f t="shared" si="14"/>
        <v>Thursday</v>
      </c>
      <c r="I246" t="str">
        <f t="shared" si="15"/>
        <v>Mar</v>
      </c>
    </row>
    <row r="247" spans="1:9" x14ac:dyDescent="0.35">
      <c r="A247">
        <v>246</v>
      </c>
      <c r="B247" s="1">
        <v>45925.05955780614</v>
      </c>
      <c r="C247" t="s">
        <v>8</v>
      </c>
      <c r="D247" t="s">
        <v>11</v>
      </c>
      <c r="E247" t="s">
        <v>7</v>
      </c>
      <c r="F247" s="2">
        <f t="shared" si="12"/>
        <v>45925</v>
      </c>
      <c r="G247">
        <f t="shared" si="13"/>
        <v>1</v>
      </c>
      <c r="H247" t="str">
        <f t="shared" si="14"/>
        <v>Thursday</v>
      </c>
      <c r="I247" t="str">
        <f t="shared" si="15"/>
        <v>Sep</v>
      </c>
    </row>
    <row r="248" spans="1:9" x14ac:dyDescent="0.35">
      <c r="A248">
        <v>247</v>
      </c>
      <c r="B248" s="1">
        <v>45906.062808376533</v>
      </c>
      <c r="C248" t="s">
        <v>14</v>
      </c>
      <c r="D248" t="s">
        <v>6</v>
      </c>
      <c r="E248" t="s">
        <v>7</v>
      </c>
      <c r="F248" s="2">
        <f t="shared" si="12"/>
        <v>45906</v>
      </c>
      <c r="G248">
        <f t="shared" si="13"/>
        <v>1</v>
      </c>
      <c r="H248" t="str">
        <f t="shared" si="14"/>
        <v>Saturday</v>
      </c>
      <c r="I248" t="str">
        <f t="shared" si="15"/>
        <v>Sep</v>
      </c>
    </row>
    <row r="249" spans="1:9" x14ac:dyDescent="0.35">
      <c r="A249">
        <v>248</v>
      </c>
      <c r="B249" s="1">
        <v>45891.840158430212</v>
      </c>
      <c r="C249" t="s">
        <v>8</v>
      </c>
      <c r="D249" t="s">
        <v>13</v>
      </c>
      <c r="E249" t="s">
        <v>12</v>
      </c>
      <c r="F249" s="2">
        <f t="shared" si="12"/>
        <v>45891</v>
      </c>
      <c r="G249">
        <f t="shared" si="13"/>
        <v>20</v>
      </c>
      <c r="H249" t="str">
        <f t="shared" si="14"/>
        <v>Friday</v>
      </c>
      <c r="I249" t="str">
        <f t="shared" si="15"/>
        <v>Aug</v>
      </c>
    </row>
    <row r="250" spans="1:9" x14ac:dyDescent="0.35">
      <c r="A250">
        <v>249</v>
      </c>
      <c r="B250" s="1">
        <v>45696.237328761017</v>
      </c>
      <c r="C250" t="s">
        <v>5</v>
      </c>
      <c r="D250" t="s">
        <v>6</v>
      </c>
      <c r="E250" t="s">
        <v>12</v>
      </c>
      <c r="F250" s="2">
        <f t="shared" si="12"/>
        <v>45696</v>
      </c>
      <c r="G250">
        <f t="shared" si="13"/>
        <v>5</v>
      </c>
      <c r="H250" t="str">
        <f t="shared" si="14"/>
        <v>Saturday</v>
      </c>
      <c r="I250" t="str">
        <f t="shared" si="15"/>
        <v>Feb</v>
      </c>
    </row>
    <row r="251" spans="1:9" x14ac:dyDescent="0.35">
      <c r="A251">
        <v>250</v>
      </c>
      <c r="B251" s="1">
        <v>45672.21847244924</v>
      </c>
      <c r="C251" t="s">
        <v>8</v>
      </c>
      <c r="D251" t="s">
        <v>13</v>
      </c>
      <c r="E251" t="s">
        <v>12</v>
      </c>
      <c r="F251" s="2">
        <f t="shared" si="12"/>
        <v>45672</v>
      </c>
      <c r="G251">
        <f t="shared" si="13"/>
        <v>5</v>
      </c>
      <c r="H251" t="str">
        <f t="shared" si="14"/>
        <v>Wednesday</v>
      </c>
      <c r="I251" t="str">
        <f t="shared" si="15"/>
        <v>Jan</v>
      </c>
    </row>
    <row r="252" spans="1:9" x14ac:dyDescent="0.35">
      <c r="A252">
        <v>251</v>
      </c>
      <c r="B252" s="1">
        <v>45793.336026887453</v>
      </c>
      <c r="C252" t="s">
        <v>15</v>
      </c>
      <c r="D252" t="s">
        <v>11</v>
      </c>
      <c r="E252" t="s">
        <v>12</v>
      </c>
      <c r="F252" s="2">
        <f t="shared" si="12"/>
        <v>45793</v>
      </c>
      <c r="G252">
        <f t="shared" si="13"/>
        <v>8</v>
      </c>
      <c r="H252" t="str">
        <f t="shared" si="14"/>
        <v>Friday</v>
      </c>
      <c r="I252" t="str">
        <f t="shared" si="15"/>
        <v>May</v>
      </c>
    </row>
    <row r="253" spans="1:9" x14ac:dyDescent="0.35">
      <c r="A253">
        <v>252</v>
      </c>
      <c r="B253" s="1">
        <v>45963.622441292551</v>
      </c>
      <c r="C253" t="s">
        <v>5</v>
      </c>
      <c r="D253" t="s">
        <v>11</v>
      </c>
      <c r="E253" t="s">
        <v>12</v>
      </c>
      <c r="F253" s="2">
        <f t="shared" si="12"/>
        <v>45963</v>
      </c>
      <c r="G253">
        <f t="shared" si="13"/>
        <v>14</v>
      </c>
      <c r="H253" t="str">
        <f t="shared" si="14"/>
        <v>Sunday</v>
      </c>
      <c r="I253" t="str">
        <f t="shared" si="15"/>
        <v>Nov</v>
      </c>
    </row>
    <row r="254" spans="1:9" x14ac:dyDescent="0.35">
      <c r="A254">
        <v>253</v>
      </c>
      <c r="B254" s="1">
        <v>45737.976303076182</v>
      </c>
      <c r="C254" t="s">
        <v>14</v>
      </c>
      <c r="D254" t="s">
        <v>6</v>
      </c>
      <c r="E254" t="s">
        <v>12</v>
      </c>
      <c r="F254" s="2">
        <f t="shared" si="12"/>
        <v>45737</v>
      </c>
      <c r="G254">
        <f t="shared" si="13"/>
        <v>23</v>
      </c>
      <c r="H254" t="str">
        <f t="shared" si="14"/>
        <v>Friday</v>
      </c>
      <c r="I254" t="str">
        <f t="shared" si="15"/>
        <v>Mar</v>
      </c>
    </row>
    <row r="255" spans="1:9" x14ac:dyDescent="0.35">
      <c r="A255">
        <v>254</v>
      </c>
      <c r="B255" s="1">
        <v>45883.57618539557</v>
      </c>
      <c r="C255" t="s">
        <v>8</v>
      </c>
      <c r="D255" t="s">
        <v>11</v>
      </c>
      <c r="E255" t="s">
        <v>12</v>
      </c>
      <c r="F255" s="2">
        <f t="shared" si="12"/>
        <v>45883</v>
      </c>
      <c r="G255">
        <f t="shared" si="13"/>
        <v>13</v>
      </c>
      <c r="H255" t="str">
        <f t="shared" si="14"/>
        <v>Thursday</v>
      </c>
      <c r="I255" t="str">
        <f t="shared" si="15"/>
        <v>Aug</v>
      </c>
    </row>
    <row r="256" spans="1:9" x14ac:dyDescent="0.35">
      <c r="A256">
        <v>255</v>
      </c>
      <c r="B256" s="1">
        <v>45897.018912891312</v>
      </c>
      <c r="C256" t="s">
        <v>14</v>
      </c>
      <c r="D256" t="s">
        <v>13</v>
      </c>
      <c r="E256" t="s">
        <v>7</v>
      </c>
      <c r="F256" s="2">
        <f t="shared" si="12"/>
        <v>45897</v>
      </c>
      <c r="G256">
        <f t="shared" si="13"/>
        <v>0</v>
      </c>
      <c r="H256" t="str">
        <f t="shared" si="14"/>
        <v>Thursday</v>
      </c>
      <c r="I256" t="str">
        <f t="shared" si="15"/>
        <v>Aug</v>
      </c>
    </row>
    <row r="257" spans="1:9" x14ac:dyDescent="0.35">
      <c r="A257">
        <v>256</v>
      </c>
      <c r="B257" s="1">
        <v>46004.717988080811</v>
      </c>
      <c r="C257" t="s">
        <v>10</v>
      </c>
      <c r="D257" t="s">
        <v>11</v>
      </c>
      <c r="E257" t="s">
        <v>12</v>
      </c>
      <c r="F257" s="2">
        <f t="shared" si="12"/>
        <v>46004</v>
      </c>
      <c r="G257">
        <f t="shared" si="13"/>
        <v>17</v>
      </c>
      <c r="H257" t="str">
        <f t="shared" si="14"/>
        <v>Saturday</v>
      </c>
      <c r="I257" t="str">
        <f t="shared" si="15"/>
        <v>Dec</v>
      </c>
    </row>
    <row r="258" spans="1:9" x14ac:dyDescent="0.35">
      <c r="A258">
        <v>257</v>
      </c>
      <c r="B258" s="1">
        <v>45879.802555865339</v>
      </c>
      <c r="C258" t="s">
        <v>5</v>
      </c>
      <c r="D258" t="s">
        <v>13</v>
      </c>
      <c r="E258" t="s">
        <v>12</v>
      </c>
      <c r="F258" s="2">
        <f t="shared" si="12"/>
        <v>45879</v>
      </c>
      <c r="G258">
        <f t="shared" si="13"/>
        <v>19</v>
      </c>
      <c r="H258" t="str">
        <f t="shared" si="14"/>
        <v>Sunday</v>
      </c>
      <c r="I258" t="str">
        <f t="shared" si="15"/>
        <v>Aug</v>
      </c>
    </row>
    <row r="259" spans="1:9" x14ac:dyDescent="0.35">
      <c r="A259">
        <v>258</v>
      </c>
      <c r="B259" s="1">
        <v>45731.97237536819</v>
      </c>
      <c r="C259" t="s">
        <v>8</v>
      </c>
      <c r="D259" t="s">
        <v>9</v>
      </c>
      <c r="E259" t="s">
        <v>12</v>
      </c>
      <c r="F259" s="2">
        <f t="shared" ref="F259:F301" si="16">INT(B259)</f>
        <v>45731</v>
      </c>
      <c r="G259">
        <f t="shared" ref="G259:G301" si="17">HOUR(B259)</f>
        <v>23</v>
      </c>
      <c r="H259" t="str">
        <f t="shared" ref="H259:H301" si="18">TEXT(B259, "dddd")</f>
        <v>Saturday</v>
      </c>
      <c r="I259" t="str">
        <f t="shared" ref="I259:I301" si="19">TEXT(B259, "mmm")</f>
        <v>Mar</v>
      </c>
    </row>
    <row r="260" spans="1:9" x14ac:dyDescent="0.35">
      <c r="A260">
        <v>259</v>
      </c>
      <c r="B260" s="1">
        <v>46022.132856396136</v>
      </c>
      <c r="C260" t="s">
        <v>8</v>
      </c>
      <c r="D260" t="s">
        <v>9</v>
      </c>
      <c r="E260" t="s">
        <v>12</v>
      </c>
      <c r="F260" s="2">
        <f t="shared" si="16"/>
        <v>46022</v>
      </c>
      <c r="G260">
        <f t="shared" si="17"/>
        <v>3</v>
      </c>
      <c r="H260" t="str">
        <f t="shared" si="18"/>
        <v>Wednesday</v>
      </c>
      <c r="I260" t="str">
        <f t="shared" si="19"/>
        <v>Dec</v>
      </c>
    </row>
    <row r="261" spans="1:9" x14ac:dyDescent="0.35">
      <c r="A261">
        <v>260</v>
      </c>
      <c r="B261" s="1">
        <v>45954.095348195951</v>
      </c>
      <c r="C261" t="s">
        <v>5</v>
      </c>
      <c r="D261" t="s">
        <v>13</v>
      </c>
      <c r="E261" t="s">
        <v>12</v>
      </c>
      <c r="F261" s="2">
        <f t="shared" si="16"/>
        <v>45954</v>
      </c>
      <c r="G261">
        <f t="shared" si="17"/>
        <v>2</v>
      </c>
      <c r="H261" t="str">
        <f t="shared" si="18"/>
        <v>Friday</v>
      </c>
      <c r="I261" t="str">
        <f t="shared" si="19"/>
        <v>Oct</v>
      </c>
    </row>
    <row r="262" spans="1:9" x14ac:dyDescent="0.35">
      <c r="A262">
        <v>261</v>
      </c>
      <c r="B262" s="1">
        <v>45982.651608133543</v>
      </c>
      <c r="C262" t="s">
        <v>15</v>
      </c>
      <c r="D262" t="s">
        <v>11</v>
      </c>
      <c r="E262" t="s">
        <v>12</v>
      </c>
      <c r="F262" s="2">
        <f t="shared" si="16"/>
        <v>45982</v>
      </c>
      <c r="G262">
        <f t="shared" si="17"/>
        <v>15</v>
      </c>
      <c r="H262" t="str">
        <f t="shared" si="18"/>
        <v>Friday</v>
      </c>
      <c r="I262" t="str">
        <f t="shared" si="19"/>
        <v>Nov</v>
      </c>
    </row>
    <row r="263" spans="1:9" x14ac:dyDescent="0.35">
      <c r="A263">
        <v>262</v>
      </c>
      <c r="B263" s="1">
        <v>45849.028339936769</v>
      </c>
      <c r="C263" t="s">
        <v>8</v>
      </c>
      <c r="D263" t="s">
        <v>11</v>
      </c>
      <c r="E263" t="s">
        <v>12</v>
      </c>
      <c r="F263" s="2">
        <f t="shared" si="16"/>
        <v>45849</v>
      </c>
      <c r="G263">
        <f t="shared" si="17"/>
        <v>0</v>
      </c>
      <c r="H263" t="str">
        <f t="shared" si="18"/>
        <v>Friday</v>
      </c>
      <c r="I263" t="str">
        <f t="shared" si="19"/>
        <v>Jul</v>
      </c>
    </row>
    <row r="264" spans="1:9" x14ac:dyDescent="0.35">
      <c r="A264">
        <v>263</v>
      </c>
      <c r="B264" s="1">
        <v>45907.557256942149</v>
      </c>
      <c r="C264" t="s">
        <v>14</v>
      </c>
      <c r="D264" t="s">
        <v>13</v>
      </c>
      <c r="E264" t="s">
        <v>12</v>
      </c>
      <c r="F264" s="2">
        <f t="shared" si="16"/>
        <v>45907</v>
      </c>
      <c r="G264">
        <f t="shared" si="17"/>
        <v>13</v>
      </c>
      <c r="H264" t="str">
        <f t="shared" si="18"/>
        <v>Sunday</v>
      </c>
      <c r="I264" t="str">
        <f t="shared" si="19"/>
        <v>Sep</v>
      </c>
    </row>
    <row r="265" spans="1:9" x14ac:dyDescent="0.35">
      <c r="A265">
        <v>264</v>
      </c>
      <c r="B265" s="1">
        <v>45799.932366020745</v>
      </c>
      <c r="C265" t="s">
        <v>14</v>
      </c>
      <c r="D265" t="s">
        <v>6</v>
      </c>
      <c r="E265" t="s">
        <v>7</v>
      </c>
      <c r="F265" s="2">
        <f t="shared" si="16"/>
        <v>45799</v>
      </c>
      <c r="G265">
        <f t="shared" si="17"/>
        <v>22</v>
      </c>
      <c r="H265" t="str">
        <f t="shared" si="18"/>
        <v>Thursday</v>
      </c>
      <c r="I265" t="str">
        <f t="shared" si="19"/>
        <v>May</v>
      </c>
    </row>
    <row r="266" spans="1:9" x14ac:dyDescent="0.35">
      <c r="A266">
        <v>265</v>
      </c>
      <c r="B266" s="1">
        <v>46015.591827487791</v>
      </c>
      <c r="C266" t="s">
        <v>8</v>
      </c>
      <c r="D266" t="s">
        <v>9</v>
      </c>
      <c r="E266" t="s">
        <v>12</v>
      </c>
      <c r="F266" s="2">
        <f t="shared" si="16"/>
        <v>46015</v>
      </c>
      <c r="G266">
        <f t="shared" si="17"/>
        <v>14</v>
      </c>
      <c r="H266" t="str">
        <f t="shared" si="18"/>
        <v>Wednesday</v>
      </c>
      <c r="I266" t="str">
        <f t="shared" si="19"/>
        <v>Dec</v>
      </c>
    </row>
    <row r="267" spans="1:9" x14ac:dyDescent="0.35">
      <c r="A267">
        <v>266</v>
      </c>
      <c r="B267" s="1">
        <v>45921.914599600219</v>
      </c>
      <c r="C267" t="s">
        <v>14</v>
      </c>
      <c r="D267" t="s">
        <v>9</v>
      </c>
      <c r="E267" t="s">
        <v>12</v>
      </c>
      <c r="F267" s="2">
        <f t="shared" si="16"/>
        <v>45921</v>
      </c>
      <c r="G267">
        <f t="shared" si="17"/>
        <v>21</v>
      </c>
      <c r="H267" t="str">
        <f t="shared" si="18"/>
        <v>Sunday</v>
      </c>
      <c r="I267" t="str">
        <f t="shared" si="19"/>
        <v>Sep</v>
      </c>
    </row>
    <row r="268" spans="1:9" x14ac:dyDescent="0.35">
      <c r="A268">
        <v>267</v>
      </c>
      <c r="B268" s="1">
        <v>45990.028237040453</v>
      </c>
      <c r="C268" t="s">
        <v>5</v>
      </c>
      <c r="D268" t="s">
        <v>6</v>
      </c>
      <c r="E268" t="s">
        <v>12</v>
      </c>
      <c r="F268" s="2">
        <f t="shared" si="16"/>
        <v>45990</v>
      </c>
      <c r="G268">
        <f t="shared" si="17"/>
        <v>0</v>
      </c>
      <c r="H268" t="str">
        <f t="shared" si="18"/>
        <v>Saturday</v>
      </c>
      <c r="I268" t="str">
        <f t="shared" si="19"/>
        <v>Nov</v>
      </c>
    </row>
    <row r="269" spans="1:9" x14ac:dyDescent="0.35">
      <c r="A269">
        <v>268</v>
      </c>
      <c r="B269" s="1">
        <v>45745.5072702744</v>
      </c>
      <c r="C269" t="s">
        <v>14</v>
      </c>
      <c r="D269" t="s">
        <v>6</v>
      </c>
      <c r="E269" t="s">
        <v>12</v>
      </c>
      <c r="F269" s="2">
        <f t="shared" si="16"/>
        <v>45745</v>
      </c>
      <c r="G269">
        <f t="shared" si="17"/>
        <v>12</v>
      </c>
      <c r="H269" t="str">
        <f t="shared" si="18"/>
        <v>Saturday</v>
      </c>
      <c r="I269" t="str">
        <f t="shared" si="19"/>
        <v>Mar</v>
      </c>
    </row>
    <row r="270" spans="1:9" x14ac:dyDescent="0.35">
      <c r="A270">
        <v>269</v>
      </c>
      <c r="B270" s="1">
        <v>45851.894554807637</v>
      </c>
      <c r="C270" t="s">
        <v>5</v>
      </c>
      <c r="D270" t="s">
        <v>13</v>
      </c>
      <c r="E270" t="s">
        <v>12</v>
      </c>
      <c r="F270" s="2">
        <f t="shared" si="16"/>
        <v>45851</v>
      </c>
      <c r="G270">
        <f t="shared" si="17"/>
        <v>21</v>
      </c>
      <c r="H270" t="str">
        <f t="shared" si="18"/>
        <v>Sunday</v>
      </c>
      <c r="I270" t="str">
        <f t="shared" si="19"/>
        <v>Jul</v>
      </c>
    </row>
    <row r="271" spans="1:9" x14ac:dyDescent="0.35">
      <c r="A271">
        <v>270</v>
      </c>
      <c r="B271" s="1">
        <v>45686.45178175161</v>
      </c>
      <c r="C271" t="s">
        <v>10</v>
      </c>
      <c r="D271" t="s">
        <v>11</v>
      </c>
      <c r="E271" t="s">
        <v>7</v>
      </c>
      <c r="F271" s="2">
        <f t="shared" si="16"/>
        <v>45686</v>
      </c>
      <c r="G271">
        <f t="shared" si="17"/>
        <v>10</v>
      </c>
      <c r="H271" t="str">
        <f t="shared" si="18"/>
        <v>Wednesday</v>
      </c>
      <c r="I271" t="str">
        <f t="shared" si="19"/>
        <v>Jan</v>
      </c>
    </row>
    <row r="272" spans="1:9" x14ac:dyDescent="0.35">
      <c r="A272">
        <v>271</v>
      </c>
      <c r="B272" s="1">
        <v>45820.909449424849</v>
      </c>
      <c r="C272" t="s">
        <v>8</v>
      </c>
      <c r="D272" t="s">
        <v>11</v>
      </c>
      <c r="E272" t="s">
        <v>7</v>
      </c>
      <c r="F272" s="2">
        <f t="shared" si="16"/>
        <v>45820</v>
      </c>
      <c r="G272">
        <f t="shared" si="17"/>
        <v>21</v>
      </c>
      <c r="H272" t="str">
        <f t="shared" si="18"/>
        <v>Thursday</v>
      </c>
      <c r="I272" t="str">
        <f t="shared" si="19"/>
        <v>Jun</v>
      </c>
    </row>
    <row r="273" spans="1:9" x14ac:dyDescent="0.35">
      <c r="A273">
        <v>272</v>
      </c>
      <c r="B273" s="1">
        <v>45859.945788852805</v>
      </c>
      <c r="C273" t="s">
        <v>8</v>
      </c>
      <c r="D273" t="s">
        <v>13</v>
      </c>
      <c r="E273" t="s">
        <v>7</v>
      </c>
      <c r="F273" s="2">
        <f t="shared" si="16"/>
        <v>45859</v>
      </c>
      <c r="G273">
        <f t="shared" si="17"/>
        <v>22</v>
      </c>
      <c r="H273" t="str">
        <f t="shared" si="18"/>
        <v>Monday</v>
      </c>
      <c r="I273" t="str">
        <f t="shared" si="19"/>
        <v>Jul</v>
      </c>
    </row>
    <row r="274" spans="1:9" x14ac:dyDescent="0.35">
      <c r="A274">
        <v>273</v>
      </c>
      <c r="B274" s="1">
        <v>45841.329475704246</v>
      </c>
      <c r="C274" t="s">
        <v>5</v>
      </c>
      <c r="D274" t="s">
        <v>9</v>
      </c>
      <c r="E274" t="s">
        <v>12</v>
      </c>
      <c r="F274" s="2">
        <f t="shared" si="16"/>
        <v>45841</v>
      </c>
      <c r="G274">
        <f t="shared" si="17"/>
        <v>7</v>
      </c>
      <c r="H274" t="str">
        <f t="shared" si="18"/>
        <v>Thursday</v>
      </c>
      <c r="I274" t="str">
        <f t="shared" si="19"/>
        <v>Jul</v>
      </c>
    </row>
    <row r="275" spans="1:9" x14ac:dyDescent="0.35">
      <c r="A275">
        <v>274</v>
      </c>
      <c r="B275" s="1">
        <v>45825.627491631065</v>
      </c>
      <c r="C275" t="s">
        <v>14</v>
      </c>
      <c r="D275" t="s">
        <v>9</v>
      </c>
      <c r="E275" t="s">
        <v>12</v>
      </c>
      <c r="F275" s="2">
        <f t="shared" si="16"/>
        <v>45825</v>
      </c>
      <c r="G275">
        <f t="shared" si="17"/>
        <v>15</v>
      </c>
      <c r="H275" t="str">
        <f t="shared" si="18"/>
        <v>Tuesday</v>
      </c>
      <c r="I275" t="str">
        <f t="shared" si="19"/>
        <v>Jun</v>
      </c>
    </row>
    <row r="276" spans="1:9" x14ac:dyDescent="0.35">
      <c r="A276">
        <v>275</v>
      </c>
      <c r="B276" s="1">
        <v>45876.161544782917</v>
      </c>
      <c r="C276" t="s">
        <v>10</v>
      </c>
      <c r="D276" t="s">
        <v>11</v>
      </c>
      <c r="E276" t="s">
        <v>7</v>
      </c>
      <c r="F276" s="2">
        <f t="shared" si="16"/>
        <v>45876</v>
      </c>
      <c r="G276">
        <f t="shared" si="17"/>
        <v>3</v>
      </c>
      <c r="H276" t="str">
        <f t="shared" si="18"/>
        <v>Thursday</v>
      </c>
      <c r="I276" t="str">
        <f t="shared" si="19"/>
        <v>Aug</v>
      </c>
    </row>
    <row r="277" spans="1:9" x14ac:dyDescent="0.35">
      <c r="A277">
        <v>276</v>
      </c>
      <c r="B277" s="1">
        <v>45708.167804815901</v>
      </c>
      <c r="C277" t="s">
        <v>14</v>
      </c>
      <c r="D277" t="s">
        <v>11</v>
      </c>
      <c r="E277" t="s">
        <v>7</v>
      </c>
      <c r="F277" s="2">
        <f t="shared" si="16"/>
        <v>45708</v>
      </c>
      <c r="G277">
        <f t="shared" si="17"/>
        <v>4</v>
      </c>
      <c r="H277" t="str">
        <f t="shared" si="18"/>
        <v>Thursday</v>
      </c>
      <c r="I277" t="str">
        <f t="shared" si="19"/>
        <v>Feb</v>
      </c>
    </row>
    <row r="278" spans="1:9" x14ac:dyDescent="0.35">
      <c r="A278">
        <v>277</v>
      </c>
      <c r="B278" s="1">
        <v>45818.080059724161</v>
      </c>
      <c r="C278" t="s">
        <v>14</v>
      </c>
      <c r="D278" t="s">
        <v>6</v>
      </c>
      <c r="E278" t="s">
        <v>7</v>
      </c>
      <c r="F278" s="2">
        <f t="shared" si="16"/>
        <v>45818</v>
      </c>
      <c r="G278">
        <f t="shared" si="17"/>
        <v>1</v>
      </c>
      <c r="H278" t="str">
        <f t="shared" si="18"/>
        <v>Tuesday</v>
      </c>
      <c r="I278" t="str">
        <f t="shared" si="19"/>
        <v>Jun</v>
      </c>
    </row>
    <row r="279" spans="1:9" x14ac:dyDescent="0.35">
      <c r="A279">
        <v>278</v>
      </c>
      <c r="B279" s="1">
        <v>45704.981030805997</v>
      </c>
      <c r="C279" t="s">
        <v>15</v>
      </c>
      <c r="D279" t="s">
        <v>9</v>
      </c>
      <c r="E279" t="s">
        <v>12</v>
      </c>
      <c r="F279" s="2">
        <f t="shared" si="16"/>
        <v>45704</v>
      </c>
      <c r="G279">
        <f t="shared" si="17"/>
        <v>23</v>
      </c>
      <c r="H279" t="str">
        <f t="shared" si="18"/>
        <v>Sunday</v>
      </c>
      <c r="I279" t="str">
        <f t="shared" si="19"/>
        <v>Feb</v>
      </c>
    </row>
    <row r="280" spans="1:9" x14ac:dyDescent="0.35">
      <c r="A280">
        <v>279</v>
      </c>
      <c r="B280" s="1">
        <v>45924.784031043688</v>
      </c>
      <c r="C280" t="s">
        <v>8</v>
      </c>
      <c r="D280" t="s">
        <v>13</v>
      </c>
      <c r="E280" t="s">
        <v>12</v>
      </c>
      <c r="F280" s="2">
        <f t="shared" si="16"/>
        <v>45924</v>
      </c>
      <c r="G280">
        <f t="shared" si="17"/>
        <v>18</v>
      </c>
      <c r="H280" t="str">
        <f t="shared" si="18"/>
        <v>Wednesday</v>
      </c>
      <c r="I280" t="str">
        <f t="shared" si="19"/>
        <v>Sep</v>
      </c>
    </row>
    <row r="281" spans="1:9" x14ac:dyDescent="0.35">
      <c r="A281">
        <v>280</v>
      </c>
      <c r="B281" s="1">
        <v>45810.005294092109</v>
      </c>
      <c r="C281" t="s">
        <v>15</v>
      </c>
      <c r="D281" t="s">
        <v>9</v>
      </c>
      <c r="E281" t="s">
        <v>12</v>
      </c>
      <c r="F281" s="2">
        <f t="shared" si="16"/>
        <v>45810</v>
      </c>
      <c r="G281">
        <f t="shared" si="17"/>
        <v>0</v>
      </c>
      <c r="H281" t="str">
        <f t="shared" si="18"/>
        <v>Monday</v>
      </c>
      <c r="I281" t="str">
        <f t="shared" si="19"/>
        <v>Jun</v>
      </c>
    </row>
    <row r="282" spans="1:9" x14ac:dyDescent="0.35">
      <c r="A282">
        <v>281</v>
      </c>
      <c r="B282" s="1">
        <v>45768.413351478412</v>
      </c>
      <c r="C282" t="s">
        <v>8</v>
      </c>
      <c r="D282" t="s">
        <v>6</v>
      </c>
      <c r="E282" t="s">
        <v>12</v>
      </c>
      <c r="F282" s="2">
        <f t="shared" si="16"/>
        <v>45768</v>
      </c>
      <c r="G282">
        <f t="shared" si="17"/>
        <v>9</v>
      </c>
      <c r="H282" t="str">
        <f t="shared" si="18"/>
        <v>Monday</v>
      </c>
      <c r="I282" t="str">
        <f t="shared" si="19"/>
        <v>Apr</v>
      </c>
    </row>
    <row r="283" spans="1:9" x14ac:dyDescent="0.35">
      <c r="A283">
        <v>282</v>
      </c>
      <c r="B283" s="1">
        <v>45817.777768437685</v>
      </c>
      <c r="C283" t="s">
        <v>14</v>
      </c>
      <c r="D283" t="s">
        <v>9</v>
      </c>
      <c r="E283" t="s">
        <v>12</v>
      </c>
      <c r="F283" s="2">
        <f t="shared" si="16"/>
        <v>45817</v>
      </c>
      <c r="G283">
        <f t="shared" si="17"/>
        <v>18</v>
      </c>
      <c r="H283" t="str">
        <f t="shared" si="18"/>
        <v>Monday</v>
      </c>
      <c r="I283" t="str">
        <f t="shared" si="19"/>
        <v>Jun</v>
      </c>
    </row>
    <row r="284" spans="1:9" x14ac:dyDescent="0.35">
      <c r="A284">
        <v>283</v>
      </c>
      <c r="B284" s="1">
        <v>45744.880884887825</v>
      </c>
      <c r="C284" t="s">
        <v>15</v>
      </c>
      <c r="D284" t="s">
        <v>6</v>
      </c>
      <c r="E284" t="s">
        <v>7</v>
      </c>
      <c r="F284" s="2">
        <f t="shared" si="16"/>
        <v>45744</v>
      </c>
      <c r="G284">
        <f t="shared" si="17"/>
        <v>21</v>
      </c>
      <c r="H284" t="str">
        <f t="shared" si="18"/>
        <v>Friday</v>
      </c>
      <c r="I284" t="str">
        <f t="shared" si="19"/>
        <v>Mar</v>
      </c>
    </row>
    <row r="285" spans="1:9" x14ac:dyDescent="0.35">
      <c r="A285">
        <v>284</v>
      </c>
      <c r="B285" s="1">
        <v>45950.576253831437</v>
      </c>
      <c r="C285" t="s">
        <v>8</v>
      </c>
      <c r="D285" t="s">
        <v>6</v>
      </c>
      <c r="E285" t="s">
        <v>12</v>
      </c>
      <c r="F285" s="2">
        <f t="shared" si="16"/>
        <v>45950</v>
      </c>
      <c r="G285">
        <f t="shared" si="17"/>
        <v>13</v>
      </c>
      <c r="H285" t="str">
        <f t="shared" si="18"/>
        <v>Monday</v>
      </c>
      <c r="I285" t="str">
        <f t="shared" si="19"/>
        <v>Oct</v>
      </c>
    </row>
    <row r="286" spans="1:9" x14ac:dyDescent="0.35">
      <c r="A286">
        <v>285</v>
      </c>
      <c r="B286" s="1">
        <v>45731.107619937029</v>
      </c>
      <c r="C286" t="s">
        <v>10</v>
      </c>
      <c r="D286" t="s">
        <v>13</v>
      </c>
      <c r="E286" t="s">
        <v>7</v>
      </c>
      <c r="F286" s="2">
        <f t="shared" si="16"/>
        <v>45731</v>
      </c>
      <c r="G286">
        <f t="shared" si="17"/>
        <v>2</v>
      </c>
      <c r="H286" t="str">
        <f t="shared" si="18"/>
        <v>Saturday</v>
      </c>
      <c r="I286" t="str">
        <f t="shared" si="19"/>
        <v>Mar</v>
      </c>
    </row>
    <row r="287" spans="1:9" x14ac:dyDescent="0.35">
      <c r="A287">
        <v>286</v>
      </c>
      <c r="B287" s="1">
        <v>45888.685040579316</v>
      </c>
      <c r="C287" t="s">
        <v>15</v>
      </c>
      <c r="D287" t="s">
        <v>11</v>
      </c>
      <c r="E287" t="s">
        <v>12</v>
      </c>
      <c r="F287" s="2">
        <f t="shared" si="16"/>
        <v>45888</v>
      </c>
      <c r="G287">
        <f t="shared" si="17"/>
        <v>16</v>
      </c>
      <c r="H287" t="str">
        <f t="shared" si="18"/>
        <v>Tuesday</v>
      </c>
      <c r="I287" t="str">
        <f t="shared" si="19"/>
        <v>Aug</v>
      </c>
    </row>
    <row r="288" spans="1:9" x14ac:dyDescent="0.35">
      <c r="A288">
        <v>287</v>
      </c>
      <c r="B288" s="1">
        <v>45711.222423302963</v>
      </c>
      <c r="C288" t="s">
        <v>10</v>
      </c>
      <c r="D288" t="s">
        <v>9</v>
      </c>
      <c r="E288" t="s">
        <v>7</v>
      </c>
      <c r="F288" s="2">
        <f t="shared" si="16"/>
        <v>45711</v>
      </c>
      <c r="G288">
        <f t="shared" si="17"/>
        <v>5</v>
      </c>
      <c r="H288" t="str">
        <f t="shared" si="18"/>
        <v>Sunday</v>
      </c>
      <c r="I288" t="str">
        <f t="shared" si="19"/>
        <v>Feb</v>
      </c>
    </row>
    <row r="289" spans="1:9" x14ac:dyDescent="0.35">
      <c r="A289">
        <v>288</v>
      </c>
      <c r="B289" s="1">
        <v>45676.539107036093</v>
      </c>
      <c r="C289" t="s">
        <v>14</v>
      </c>
      <c r="D289" t="s">
        <v>11</v>
      </c>
      <c r="E289" t="s">
        <v>12</v>
      </c>
      <c r="F289" s="2">
        <f t="shared" si="16"/>
        <v>45676</v>
      </c>
      <c r="G289">
        <f t="shared" si="17"/>
        <v>12</v>
      </c>
      <c r="H289" t="str">
        <f t="shared" si="18"/>
        <v>Sunday</v>
      </c>
      <c r="I289" t="str">
        <f t="shared" si="19"/>
        <v>Jan</v>
      </c>
    </row>
    <row r="290" spans="1:9" x14ac:dyDescent="0.35">
      <c r="A290">
        <v>289</v>
      </c>
      <c r="B290" s="1">
        <v>45930.415414441602</v>
      </c>
      <c r="C290" t="s">
        <v>5</v>
      </c>
      <c r="D290" t="s">
        <v>6</v>
      </c>
      <c r="E290" t="s">
        <v>12</v>
      </c>
      <c r="F290" s="2">
        <f t="shared" si="16"/>
        <v>45930</v>
      </c>
      <c r="G290">
        <f t="shared" si="17"/>
        <v>9</v>
      </c>
      <c r="H290" t="str">
        <f t="shared" si="18"/>
        <v>Tuesday</v>
      </c>
      <c r="I290" t="str">
        <f t="shared" si="19"/>
        <v>Sep</v>
      </c>
    </row>
    <row r="291" spans="1:9" x14ac:dyDescent="0.35">
      <c r="A291">
        <v>290</v>
      </c>
      <c r="B291" s="1">
        <v>45924.283445996451</v>
      </c>
      <c r="C291" t="s">
        <v>5</v>
      </c>
      <c r="D291" t="s">
        <v>13</v>
      </c>
      <c r="E291" t="s">
        <v>12</v>
      </c>
      <c r="F291" s="2">
        <f t="shared" si="16"/>
        <v>45924</v>
      </c>
      <c r="G291">
        <f t="shared" si="17"/>
        <v>6</v>
      </c>
      <c r="H291" t="str">
        <f t="shared" si="18"/>
        <v>Wednesday</v>
      </c>
      <c r="I291" t="str">
        <f t="shared" si="19"/>
        <v>Sep</v>
      </c>
    </row>
    <row r="292" spans="1:9" x14ac:dyDescent="0.35">
      <c r="A292">
        <v>291</v>
      </c>
      <c r="B292" s="1">
        <v>45839.727854122182</v>
      </c>
      <c r="C292" t="s">
        <v>5</v>
      </c>
      <c r="D292" t="s">
        <v>13</v>
      </c>
      <c r="E292" t="s">
        <v>12</v>
      </c>
      <c r="F292" s="2">
        <f t="shared" si="16"/>
        <v>45839</v>
      </c>
      <c r="G292">
        <f t="shared" si="17"/>
        <v>17</v>
      </c>
      <c r="H292" t="str">
        <f t="shared" si="18"/>
        <v>Tuesday</v>
      </c>
      <c r="I292" t="str">
        <f t="shared" si="19"/>
        <v>Jul</v>
      </c>
    </row>
    <row r="293" spans="1:9" x14ac:dyDescent="0.35">
      <c r="A293">
        <v>292</v>
      </c>
      <c r="B293" s="1">
        <v>45832.096524713394</v>
      </c>
      <c r="C293" t="s">
        <v>8</v>
      </c>
      <c r="D293" t="s">
        <v>13</v>
      </c>
      <c r="E293" t="s">
        <v>12</v>
      </c>
      <c r="F293" s="2">
        <f t="shared" si="16"/>
        <v>45832</v>
      </c>
      <c r="G293">
        <f t="shared" si="17"/>
        <v>2</v>
      </c>
      <c r="H293" t="str">
        <f t="shared" si="18"/>
        <v>Tuesday</v>
      </c>
      <c r="I293" t="str">
        <f t="shared" si="19"/>
        <v>Jun</v>
      </c>
    </row>
    <row r="294" spans="1:9" x14ac:dyDescent="0.35">
      <c r="A294">
        <v>293</v>
      </c>
      <c r="B294" s="1">
        <v>45898.565976921687</v>
      </c>
      <c r="C294" t="s">
        <v>8</v>
      </c>
      <c r="D294" t="s">
        <v>13</v>
      </c>
      <c r="E294" t="s">
        <v>12</v>
      </c>
      <c r="F294" s="2">
        <f t="shared" si="16"/>
        <v>45898</v>
      </c>
      <c r="G294">
        <f t="shared" si="17"/>
        <v>13</v>
      </c>
      <c r="H294" t="str">
        <f t="shared" si="18"/>
        <v>Friday</v>
      </c>
      <c r="I294" t="str">
        <f t="shared" si="19"/>
        <v>Aug</v>
      </c>
    </row>
    <row r="295" spans="1:9" x14ac:dyDescent="0.35">
      <c r="A295">
        <v>294</v>
      </c>
      <c r="B295" s="1">
        <v>45707.64784218026</v>
      </c>
      <c r="C295" t="s">
        <v>15</v>
      </c>
      <c r="D295" t="s">
        <v>9</v>
      </c>
      <c r="E295" t="s">
        <v>12</v>
      </c>
      <c r="F295" s="2">
        <f t="shared" si="16"/>
        <v>45707</v>
      </c>
      <c r="G295">
        <f t="shared" si="17"/>
        <v>15</v>
      </c>
      <c r="H295" t="str">
        <f t="shared" si="18"/>
        <v>Wednesday</v>
      </c>
      <c r="I295" t="str">
        <f t="shared" si="19"/>
        <v>Feb</v>
      </c>
    </row>
    <row r="296" spans="1:9" x14ac:dyDescent="0.35">
      <c r="A296">
        <v>295</v>
      </c>
      <c r="B296" s="1">
        <v>45940.024504940331</v>
      </c>
      <c r="C296" t="s">
        <v>5</v>
      </c>
      <c r="D296" t="s">
        <v>6</v>
      </c>
      <c r="E296" t="s">
        <v>12</v>
      </c>
      <c r="F296" s="2">
        <f t="shared" si="16"/>
        <v>45940</v>
      </c>
      <c r="G296">
        <f t="shared" si="17"/>
        <v>0</v>
      </c>
      <c r="H296" t="str">
        <f t="shared" si="18"/>
        <v>Friday</v>
      </c>
      <c r="I296" t="str">
        <f t="shared" si="19"/>
        <v>Oct</v>
      </c>
    </row>
    <row r="297" spans="1:9" x14ac:dyDescent="0.35">
      <c r="A297">
        <v>296</v>
      </c>
      <c r="B297" s="1">
        <v>45873.941474443709</v>
      </c>
      <c r="C297" t="s">
        <v>10</v>
      </c>
      <c r="D297" t="s">
        <v>13</v>
      </c>
      <c r="E297" t="s">
        <v>12</v>
      </c>
      <c r="F297" s="2">
        <f t="shared" si="16"/>
        <v>45873</v>
      </c>
      <c r="G297">
        <f t="shared" si="17"/>
        <v>22</v>
      </c>
      <c r="H297" t="str">
        <f t="shared" si="18"/>
        <v>Monday</v>
      </c>
      <c r="I297" t="str">
        <f t="shared" si="19"/>
        <v>Aug</v>
      </c>
    </row>
    <row r="298" spans="1:9" x14ac:dyDescent="0.35">
      <c r="A298">
        <v>297</v>
      </c>
      <c r="B298" s="1">
        <v>45971.818700548611</v>
      </c>
      <c r="C298" t="s">
        <v>15</v>
      </c>
      <c r="D298" t="s">
        <v>9</v>
      </c>
      <c r="E298" t="s">
        <v>12</v>
      </c>
      <c r="F298" s="2">
        <f t="shared" si="16"/>
        <v>45971</v>
      </c>
      <c r="G298">
        <f t="shared" si="17"/>
        <v>19</v>
      </c>
      <c r="H298" t="str">
        <f t="shared" si="18"/>
        <v>Monday</v>
      </c>
      <c r="I298" t="str">
        <f t="shared" si="19"/>
        <v>Nov</v>
      </c>
    </row>
    <row r="299" spans="1:9" x14ac:dyDescent="0.35">
      <c r="A299">
        <v>298</v>
      </c>
      <c r="B299" s="1">
        <v>45969.433031369997</v>
      </c>
      <c r="C299" t="s">
        <v>8</v>
      </c>
      <c r="D299" t="s">
        <v>11</v>
      </c>
      <c r="E299" t="s">
        <v>12</v>
      </c>
      <c r="F299" s="2">
        <f t="shared" si="16"/>
        <v>45969</v>
      </c>
      <c r="G299">
        <f t="shared" si="17"/>
        <v>10</v>
      </c>
      <c r="H299" t="str">
        <f t="shared" si="18"/>
        <v>Saturday</v>
      </c>
      <c r="I299" t="str">
        <f t="shared" si="19"/>
        <v>Nov</v>
      </c>
    </row>
    <row r="300" spans="1:9" x14ac:dyDescent="0.35">
      <c r="A300">
        <v>299</v>
      </c>
      <c r="B300" s="1">
        <v>45773.994976565948</v>
      </c>
      <c r="C300" t="s">
        <v>15</v>
      </c>
      <c r="D300" t="s">
        <v>11</v>
      </c>
      <c r="E300" t="s">
        <v>12</v>
      </c>
      <c r="F300" s="2">
        <f t="shared" si="16"/>
        <v>45773</v>
      </c>
      <c r="G300">
        <f t="shared" si="17"/>
        <v>23</v>
      </c>
      <c r="H300" t="str">
        <f t="shared" si="18"/>
        <v>Saturday</v>
      </c>
      <c r="I300" t="str">
        <f t="shared" si="19"/>
        <v>Apr</v>
      </c>
    </row>
    <row r="301" spans="1:9" x14ac:dyDescent="0.35">
      <c r="A301">
        <v>300</v>
      </c>
      <c r="B301" s="1">
        <v>45663.59806336261</v>
      </c>
      <c r="C301" t="s">
        <v>8</v>
      </c>
      <c r="D301" t="s">
        <v>13</v>
      </c>
      <c r="E301" t="s">
        <v>7</v>
      </c>
      <c r="F301" s="2">
        <f t="shared" si="16"/>
        <v>45663</v>
      </c>
      <c r="G301">
        <f t="shared" si="17"/>
        <v>14</v>
      </c>
      <c r="H301" t="str">
        <f t="shared" si="18"/>
        <v>Monday</v>
      </c>
      <c r="I301" t="str">
        <f t="shared" si="19"/>
        <v>Jan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346EE-9BAE-43D0-B09C-57D84B0B350C}">
  <dimension ref="A1:D6"/>
  <sheetViews>
    <sheetView workbookViewId="0">
      <selection activeCell="N12" sqref="N12"/>
    </sheetView>
  </sheetViews>
  <sheetFormatPr defaultRowHeight="14.5" x14ac:dyDescent="0.35"/>
  <cols>
    <col min="1" max="1" width="14.08984375" bestFit="1" customWidth="1"/>
    <col min="2" max="2" width="15.26953125" bestFit="1" customWidth="1"/>
    <col min="3" max="3" width="6.81640625" bestFit="1" customWidth="1"/>
    <col min="4" max="4" width="10.7265625" bestFit="1" customWidth="1"/>
    <col min="5" max="5" width="17.26953125" bestFit="1" customWidth="1"/>
  </cols>
  <sheetData>
    <row r="1" spans="1:4" x14ac:dyDescent="0.35">
      <c r="A1" s="3" t="s">
        <v>23</v>
      </c>
      <c r="B1" s="3" t="s">
        <v>22</v>
      </c>
    </row>
    <row r="2" spans="1:4" x14ac:dyDescent="0.35">
      <c r="A2" s="3" t="s">
        <v>20</v>
      </c>
      <c r="B2" t="s">
        <v>12</v>
      </c>
      <c r="C2" t="s">
        <v>7</v>
      </c>
      <c r="D2" t="s">
        <v>21</v>
      </c>
    </row>
    <row r="3" spans="1:4" x14ac:dyDescent="0.35">
      <c r="A3" s="4" t="s">
        <v>6</v>
      </c>
      <c r="B3" s="5">
        <v>0.5</v>
      </c>
      <c r="C3" s="5">
        <v>0.5</v>
      </c>
      <c r="D3" s="5">
        <v>1</v>
      </c>
    </row>
    <row r="4" spans="1:4" x14ac:dyDescent="0.35">
      <c r="A4" s="4" t="s">
        <v>9</v>
      </c>
      <c r="B4" s="5">
        <v>1</v>
      </c>
      <c r="C4" s="5">
        <v>0</v>
      </c>
      <c r="D4" s="5">
        <v>1</v>
      </c>
    </row>
    <row r="5" spans="1:4" x14ac:dyDescent="0.35">
      <c r="A5" s="4" t="s">
        <v>11</v>
      </c>
      <c r="B5" s="5">
        <v>1</v>
      </c>
      <c r="C5" s="5">
        <v>0</v>
      </c>
      <c r="D5" s="5">
        <v>1</v>
      </c>
    </row>
    <row r="6" spans="1:4" x14ac:dyDescent="0.35">
      <c r="A6" s="4" t="s">
        <v>13</v>
      </c>
      <c r="B6" s="5">
        <v>0.5</v>
      </c>
      <c r="C6" s="5">
        <v>0.5</v>
      </c>
      <c r="D6"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A1F33-192A-4175-9B2A-6B097B9EFBEB}">
  <dimension ref="A1:B15"/>
  <sheetViews>
    <sheetView workbookViewId="0">
      <selection activeCell="K14" sqref="K14"/>
    </sheetView>
  </sheetViews>
  <sheetFormatPr defaultRowHeight="14.5" x14ac:dyDescent="0.35"/>
  <cols>
    <col min="1" max="1" width="12.36328125" bestFit="1" customWidth="1"/>
    <col min="2" max="2" width="14.08984375" bestFit="1" customWidth="1"/>
  </cols>
  <sheetData>
    <row r="1" spans="1:2" x14ac:dyDescent="0.35">
      <c r="A1" s="3" t="s">
        <v>20</v>
      </c>
      <c r="B1" t="s">
        <v>23</v>
      </c>
    </row>
    <row r="2" spans="1:2" x14ac:dyDescent="0.35">
      <c r="A2" s="4">
        <v>0</v>
      </c>
      <c r="B2" s="12">
        <v>1</v>
      </c>
    </row>
    <row r="3" spans="1:2" x14ac:dyDescent="0.35">
      <c r="A3" s="4">
        <v>1</v>
      </c>
      <c r="B3" s="12">
        <v>1</v>
      </c>
    </row>
    <row r="4" spans="1:2" x14ac:dyDescent="0.35">
      <c r="A4" s="4">
        <v>2</v>
      </c>
      <c r="B4" s="12">
        <v>1</v>
      </c>
    </row>
    <row r="5" spans="1:2" x14ac:dyDescent="0.35">
      <c r="A5" s="4">
        <v>4</v>
      </c>
      <c r="B5" s="12">
        <v>3</v>
      </c>
    </row>
    <row r="6" spans="1:2" x14ac:dyDescent="0.35">
      <c r="A6" s="4">
        <v>5</v>
      </c>
      <c r="B6" s="12">
        <v>1</v>
      </c>
    </row>
    <row r="7" spans="1:2" x14ac:dyDescent="0.35">
      <c r="A7" s="4">
        <v>6</v>
      </c>
      <c r="B7" s="12">
        <v>1</v>
      </c>
    </row>
    <row r="8" spans="1:2" x14ac:dyDescent="0.35">
      <c r="A8" s="4">
        <v>7</v>
      </c>
      <c r="B8" s="12">
        <v>2</v>
      </c>
    </row>
    <row r="9" spans="1:2" x14ac:dyDescent="0.35">
      <c r="A9" s="4">
        <v>8</v>
      </c>
      <c r="B9" s="12">
        <v>1</v>
      </c>
    </row>
    <row r="10" spans="1:2" x14ac:dyDescent="0.35">
      <c r="A10" s="4">
        <v>9</v>
      </c>
      <c r="B10" s="12">
        <v>1</v>
      </c>
    </row>
    <row r="11" spans="1:2" x14ac:dyDescent="0.35">
      <c r="A11" s="4">
        <v>11</v>
      </c>
      <c r="B11" s="12">
        <v>1</v>
      </c>
    </row>
    <row r="12" spans="1:2" x14ac:dyDescent="0.35">
      <c r="A12" s="4">
        <v>14</v>
      </c>
      <c r="B12" s="12">
        <v>1</v>
      </c>
    </row>
    <row r="13" spans="1:2" x14ac:dyDescent="0.35">
      <c r="A13" s="4">
        <v>15</v>
      </c>
      <c r="B13" s="12">
        <v>1</v>
      </c>
    </row>
    <row r="14" spans="1:2" x14ac:dyDescent="0.35">
      <c r="A14" s="4">
        <v>22</v>
      </c>
      <c r="B14" s="12">
        <v>3</v>
      </c>
    </row>
    <row r="15" spans="1:2" x14ac:dyDescent="0.35">
      <c r="A15" s="4">
        <v>23</v>
      </c>
      <c r="B15" s="12">
        <v>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7D95D-D1FA-49A4-B24E-B07C78AF8A1C}">
  <dimension ref="A1:C8"/>
  <sheetViews>
    <sheetView workbookViewId="0">
      <selection activeCell="L5" sqref="L5"/>
    </sheetView>
  </sheetViews>
  <sheetFormatPr defaultRowHeight="14.5" x14ac:dyDescent="0.35"/>
  <cols>
    <col min="1" max="1" width="14.08984375" bestFit="1" customWidth="1"/>
    <col min="2" max="2" width="15.26953125" bestFit="1" customWidth="1"/>
    <col min="3" max="3" width="3.6328125" bestFit="1" customWidth="1"/>
    <col min="4" max="4" width="10.7265625" bestFit="1" customWidth="1"/>
  </cols>
  <sheetData>
    <row r="1" spans="1:3" x14ac:dyDescent="0.35">
      <c r="A1" s="3" t="s">
        <v>23</v>
      </c>
      <c r="B1" s="3" t="s">
        <v>22</v>
      </c>
    </row>
    <row r="2" spans="1:3" x14ac:dyDescent="0.35">
      <c r="A2" s="3" t="s">
        <v>20</v>
      </c>
      <c r="B2" t="s">
        <v>12</v>
      </c>
      <c r="C2" t="s">
        <v>7</v>
      </c>
    </row>
    <row r="3" spans="1:3" x14ac:dyDescent="0.35">
      <c r="A3" s="4" t="s">
        <v>24</v>
      </c>
      <c r="B3" s="12">
        <v>3</v>
      </c>
      <c r="C3" s="12">
        <v>1</v>
      </c>
    </row>
    <row r="4" spans="1:3" x14ac:dyDescent="0.35">
      <c r="A4" s="4" t="s">
        <v>25</v>
      </c>
      <c r="B4" s="12">
        <v>2</v>
      </c>
      <c r="C4" s="12">
        <v>2</v>
      </c>
    </row>
    <row r="5" spans="1:3" x14ac:dyDescent="0.35">
      <c r="A5" s="4" t="s">
        <v>26</v>
      </c>
      <c r="B5" s="12">
        <v>3</v>
      </c>
      <c r="C5" s="12"/>
    </row>
    <row r="6" spans="1:3" x14ac:dyDescent="0.35">
      <c r="A6" s="4" t="s">
        <v>27</v>
      </c>
      <c r="B6" s="12">
        <v>3</v>
      </c>
      <c r="C6" s="12">
        <v>1</v>
      </c>
    </row>
    <row r="7" spans="1:3" x14ac:dyDescent="0.35">
      <c r="A7" s="4" t="s">
        <v>28</v>
      </c>
      <c r="B7" s="12">
        <v>1</v>
      </c>
      <c r="C7" s="12">
        <v>1</v>
      </c>
    </row>
    <row r="8" spans="1:3" x14ac:dyDescent="0.35">
      <c r="A8" s="4" t="s">
        <v>29</v>
      </c>
      <c r="B8" s="12">
        <v>3</v>
      </c>
      <c r="C8" s="1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349B-A852-4D73-A32F-2A9A401FE476}">
  <dimension ref="A1:E3"/>
  <sheetViews>
    <sheetView workbookViewId="0">
      <selection activeCell="H23" sqref="H23"/>
    </sheetView>
  </sheetViews>
  <sheetFormatPr defaultRowHeight="14.5" x14ac:dyDescent="0.35"/>
  <cols>
    <col min="1" max="1" width="14.08984375" bestFit="1" customWidth="1"/>
    <col min="2" max="2" width="15.26953125" bestFit="1" customWidth="1"/>
    <col min="3" max="3" width="8.81640625" bestFit="1" customWidth="1"/>
    <col min="4" max="4" width="6.6328125" bestFit="1" customWidth="1"/>
    <col min="5" max="5" width="6.90625" bestFit="1" customWidth="1"/>
    <col min="6" max="6" width="10.7265625" bestFit="1" customWidth="1"/>
  </cols>
  <sheetData>
    <row r="1" spans="1:5" x14ac:dyDescent="0.35">
      <c r="A1" s="3" t="s">
        <v>23</v>
      </c>
      <c r="B1" s="3" t="s">
        <v>22</v>
      </c>
    </row>
    <row r="2" spans="1:5" x14ac:dyDescent="0.35">
      <c r="A2" s="3" t="s">
        <v>20</v>
      </c>
      <c r="B2" t="s">
        <v>6</v>
      </c>
      <c r="C2" t="s">
        <v>9</v>
      </c>
      <c r="D2" t="s">
        <v>11</v>
      </c>
      <c r="E2" t="s">
        <v>13</v>
      </c>
    </row>
    <row r="3" spans="1:5" x14ac:dyDescent="0.35">
      <c r="A3" s="4" t="s">
        <v>30</v>
      </c>
      <c r="B3" s="12">
        <v>6</v>
      </c>
      <c r="C3" s="12">
        <v>7</v>
      </c>
      <c r="D3" s="12">
        <v>3</v>
      </c>
      <c r="E3" s="12">
        <v>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613D-916F-4FA9-A62F-BFFBA12B747D}">
  <dimension ref="A1:C7"/>
  <sheetViews>
    <sheetView workbookViewId="0">
      <selection activeCell="I20" sqref="I20"/>
    </sheetView>
  </sheetViews>
  <sheetFormatPr defaultRowHeight="14.5" x14ac:dyDescent="0.35"/>
  <cols>
    <col min="1" max="1" width="14.08984375" bestFit="1" customWidth="1"/>
    <col min="2" max="2" width="15.26953125" bestFit="1" customWidth="1"/>
    <col min="3" max="3" width="3.6328125" bestFit="1" customWidth="1"/>
    <col min="4" max="4" width="10.7265625" bestFit="1" customWidth="1"/>
  </cols>
  <sheetData>
    <row r="1" spans="1:3" x14ac:dyDescent="0.35">
      <c r="A1" s="3" t="s">
        <v>23</v>
      </c>
      <c r="B1" s="3" t="s">
        <v>22</v>
      </c>
    </row>
    <row r="2" spans="1:3" x14ac:dyDescent="0.35">
      <c r="A2" s="3" t="s">
        <v>20</v>
      </c>
      <c r="B2" t="s">
        <v>12</v>
      </c>
      <c r="C2" t="s">
        <v>7</v>
      </c>
    </row>
    <row r="3" spans="1:3" x14ac:dyDescent="0.35">
      <c r="A3" s="4" t="s">
        <v>8</v>
      </c>
      <c r="B3" s="12">
        <v>4</v>
      </c>
      <c r="C3" s="12"/>
    </row>
    <row r="4" spans="1:3" x14ac:dyDescent="0.35">
      <c r="A4" s="4" t="s">
        <v>15</v>
      </c>
      <c r="B4" s="12">
        <v>2</v>
      </c>
      <c r="C4" s="12">
        <v>1</v>
      </c>
    </row>
    <row r="5" spans="1:3" x14ac:dyDescent="0.35">
      <c r="A5" s="4" t="s">
        <v>10</v>
      </c>
      <c r="B5" s="12">
        <v>3</v>
      </c>
      <c r="C5" s="12">
        <v>1</v>
      </c>
    </row>
    <row r="6" spans="1:3" x14ac:dyDescent="0.35">
      <c r="A6" s="4" t="s">
        <v>5</v>
      </c>
      <c r="B6" s="12">
        <v>2</v>
      </c>
      <c r="C6" s="12">
        <v>1</v>
      </c>
    </row>
    <row r="7" spans="1:3" x14ac:dyDescent="0.35">
      <c r="A7" s="4" t="s">
        <v>14</v>
      </c>
      <c r="B7" s="12">
        <v>4</v>
      </c>
      <c r="C7" s="12">
        <v>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Dataset</vt:lpstr>
      <vt:lpstr>Bounce Rate by Source</vt:lpstr>
      <vt:lpstr>Traffic Volume by Hour of Day</vt:lpstr>
      <vt:lpstr>Bounce Rate by Day of Week</vt:lpstr>
      <vt:lpstr>Traffic by Source Over Month</vt:lpstr>
      <vt:lpstr>Bounce Rate by Page Viewed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muhmmadsubhankhan247@gmail.com</dc:creator>
  <cp:lastModifiedBy>muhmmadsubhankhan247@gmail.com</cp:lastModifiedBy>
  <dcterms:created xsi:type="dcterms:W3CDTF">2026-05-28T14:47:55Z</dcterms:created>
  <dcterms:modified xsi:type="dcterms:W3CDTF">2026-05-28T16:31:06Z</dcterms:modified>
</cp:coreProperties>
</file>